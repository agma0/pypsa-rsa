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5" yWindow="-16320" windowWidth="29040" windowHeight="15720" tabRatio="600" firstSheet="0" activeTab="2" autoFilterDateGrouping="1"/>
  </bookViews>
  <sheets>
    <sheet xmlns:r="http://schemas.openxmlformats.org/officeDocument/2006/relationships" name="conventional" sheetId="1" state="visible" r:id="rId1"/>
    <sheet xmlns:r="http://schemas.openxmlformats.org/officeDocument/2006/relationships" name="renewables" sheetId="2" state="visible" r:id="rId2"/>
    <sheet xmlns:r="http://schemas.openxmlformats.org/officeDocument/2006/relationships" name="storage" sheetId="3" state="visible" r:id="rId3"/>
  </sheets>
  <definedNames>
    <definedName name="_xlnm._FilterDatabase" localSheetId="0" hidden="1">'conventional'!$A$1:$AE$1</definedName>
    <definedName name="_xlnm._FilterDatabase" localSheetId="1" hidden="1">'renewables'!$A$1:$E$152</definedName>
    <definedName name="_xlnm._FilterDatabase" localSheetId="2" hidden="1">'storage'!$A$1:$N$31</definedName>
  </definedNames>
  <calcPr calcId="191029" fullCalcOnLoad="1" iterate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0.000"/>
    <numFmt numFmtId="167" formatCode="0.0"/>
  </numFmts>
  <fonts count="8">
    <font>
      <name val="Calibri"/>
      <color indexed="64"/>
      <sz val="11"/>
    </font>
    <font>
      <name val="Aptos Narrow"/>
      <family val="2"/>
      <color rgb="FF9C0006"/>
      <sz val="11"/>
    </font>
    <font>
      <name val="Calibri"/>
      <family val="2"/>
      <color rgb="FF3F3F76"/>
      <sz val="11"/>
    </font>
    <font>
      <name val="Aptos Narrow"/>
      <family val="2"/>
      <b val="1"/>
      <color rgb="FF3F3F3F"/>
      <sz val="11"/>
    </font>
    <font>
      <name val="Calibri"/>
      <family val="2"/>
      <b val="1"/>
      <color rgb="FF3F3F3F"/>
      <sz val="11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color indexed="64"/>
      <sz val="11"/>
    </font>
  </fonts>
  <fills count="27">
    <fill>
      <patternFill/>
    </fill>
    <fill>
      <patternFill patternType="gray125"/>
    </fill>
    <fill>
      <patternFill patternType="solid">
        <fgColor rgb="FFFFC7CE"/>
        <bgColor rgb="FFFFCCCC"/>
      </patternFill>
    </fill>
    <fill>
      <patternFill patternType="solid">
        <fgColor indexed="47"/>
        <bgColor rgb="FFF6C6AD"/>
      </patternFill>
    </fill>
    <fill>
      <patternFill patternType="solid">
        <fgColor rgb="FFF2F2F2"/>
      </patternFill>
    </fill>
    <fill>
      <patternFill patternType="solid">
        <fgColor theme="9" tint="0.7999816888943144"/>
        <bgColor rgb="FFF2F2F2"/>
      </patternFill>
    </fill>
    <fill>
      <patternFill patternType="solid">
        <fgColor theme="3" tint="0.899990844447157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8" tint="0.7999816888943144"/>
        <bgColor rgb="FFF2F2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theme="7" tint="0.7999816888943144"/>
        <bgColor rgb="FFF2F2F2"/>
      </patternFill>
    </fill>
    <fill>
      <patternFill patternType="solid">
        <fgColor theme="5" tint="0.7999816888943144"/>
        <bgColor rgb="FFDCE6F2"/>
      </patternFill>
    </fill>
    <fill>
      <patternFill patternType="solid">
        <fgColor theme="5" tint="0.7999816888943144"/>
        <bgColor rgb="FFF2F2F2"/>
      </patternFill>
    </fill>
    <fill>
      <patternFill patternType="solid">
        <fgColor theme="0" tint="-0.0499893185216834"/>
        <bgColor rgb="FFF2F2F2"/>
      </patternFill>
    </fill>
    <fill>
      <patternFill patternType="solid">
        <fgColor theme="2" tint="-0.09997863704336681"/>
        <bgColor indexed="65"/>
      </patternFill>
    </fill>
    <fill>
      <patternFill patternType="solid">
        <fgColor indexed="5"/>
      </patternFill>
    </fill>
    <fill>
      <patternFill patternType="solid">
        <fgColor theme="3"/>
      </patternFill>
    </fill>
    <fill>
      <patternFill patternType="solid">
        <fgColor theme="9" tint="0.5999938962981048"/>
        <bgColor rgb="FFF2F2F2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7" tint="0.3999755851924192"/>
        <bgColor rgb="FFF2F2F2"/>
      </patternFill>
    </fill>
    <fill>
      <patternFill patternType="solid">
        <fgColor theme="3" tint="0.749992370372631"/>
        <bgColor rgb="FFF2F2F2"/>
      </patternFill>
    </fill>
    <fill>
      <patternFill patternType="solid">
        <fgColor indexed="5"/>
        <bgColor rgb="FFF2F2F2"/>
      </patternFill>
    </fill>
    <fill>
      <patternFill patternType="solid">
        <fgColor theme="6" tint="0.7999816888943144"/>
        <bgColor rgb="FFF2F2F2"/>
      </patternFill>
    </fill>
    <fill>
      <patternFill patternType="solid">
        <fgColor theme="2" tint="-0.09997863704336681"/>
        <bgColor rgb="FFC6D9F1"/>
      </patternFill>
    </fill>
    <fill>
      <patternFill patternType="solid">
        <fgColor rgb="FFDCE6F2"/>
        <bgColor rgb="FFD9F2D0"/>
      </patternFill>
    </fill>
    <fill>
      <patternFill patternType="solid">
        <fgColor rgb="FFC6D9F1"/>
        <bgColor rgb="FFD1D1D1"/>
      </patternFill>
    </fill>
    <fill>
      <patternFill patternType="solid">
        <fgColor rgb="FFF2F2F2"/>
        <bgColor rgb="FFFFFFFF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auto="1"/>
      </bottom>
      <diagonal/>
    </border>
  </borders>
  <cellStyleXfs count="5">
    <xf numFmtId="0" fontId="0" fillId="0" borderId="0"/>
    <xf numFmtId="0" fontId="1" fillId="2" borderId="0"/>
    <xf numFmtId="0" fontId="2" fillId="3" borderId="1"/>
    <xf numFmtId="0" fontId="3" fillId="4" borderId="2"/>
    <xf numFmtId="9" fontId="7" fillId="0" borderId="0"/>
  </cellStyleXfs>
  <cellXfs count="10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4" fillId="4" borderId="2" applyAlignment="1" pivotButton="0" quotePrefix="0" xfId="3">
      <alignment horizontal="left" vertical="center" wrapText="1"/>
    </xf>
    <xf numFmtId="0" fontId="4" fillId="4" borderId="2" applyAlignment="1" pivotButton="0" quotePrefix="0" xfId="3">
      <alignment horizontal="right" vertical="center" wrapText="1"/>
    </xf>
    <xf numFmtId="0" fontId="4" fillId="4" borderId="3" applyAlignment="1" pivotButton="0" quotePrefix="0" xfId="3">
      <alignment horizontal="right" vertical="center" wrapText="1"/>
    </xf>
    <xf numFmtId="0" fontId="4" fillId="4" borderId="4" applyAlignment="1" pivotButton="0" quotePrefix="0" xfId="3">
      <alignment horizontal="right" vertical="center" wrapText="1"/>
    </xf>
    <xf numFmtId="0" fontId="4" fillId="4" borderId="5" applyAlignment="1" pivotButton="0" quotePrefix="0" xfId="3">
      <alignment horizontal="right" vertical="center" wrapText="1"/>
    </xf>
    <xf numFmtId="0" fontId="6" fillId="5" borderId="6" applyAlignment="1" pivotButton="0" quotePrefix="0" xfId="2">
      <alignment horizontal="left"/>
    </xf>
    <xf numFmtId="0" fontId="6" fillId="6" borderId="0" applyAlignment="1" pivotButton="0" quotePrefix="0" xfId="2">
      <alignment horizontal="right"/>
    </xf>
    <xf numFmtId="164" fontId="0" fillId="7" borderId="0" applyAlignment="1" pivotButton="0" quotePrefix="0" xfId="0">
      <alignment horizontal="right"/>
    </xf>
    <xf numFmtId="9" fontId="7" fillId="7" borderId="6" applyAlignment="1" pivotButton="0" quotePrefix="0" xfId="4">
      <alignment horizontal="right"/>
    </xf>
    <xf numFmtId="0" fontId="0" fillId="7" borderId="6" applyAlignment="1" pivotButton="0" quotePrefix="0" xfId="0">
      <alignment horizontal="right"/>
    </xf>
    <xf numFmtId="2" fontId="0" fillId="7" borderId="6" applyAlignment="1" pivotButton="0" quotePrefix="0" xfId="0">
      <alignment horizontal="right"/>
    </xf>
    <xf numFmtId="1" fontId="0" fillId="7" borderId="0" applyAlignment="1" pivotButton="0" quotePrefix="0" xfId="0">
      <alignment horizontal="right"/>
    </xf>
    <xf numFmtId="1" fontId="0" fillId="7" borderId="6" applyAlignment="1" pivotButton="0" quotePrefix="0" xfId="0">
      <alignment horizontal="right"/>
    </xf>
    <xf numFmtId="165" fontId="0" fillId="7" borderId="0" applyAlignment="1" pivotButton="0" quotePrefix="0" xfId="0">
      <alignment horizontal="right"/>
    </xf>
    <xf numFmtId="165" fontId="0" fillId="7" borderId="7" applyAlignment="1" pivotButton="0" quotePrefix="0" xfId="0">
      <alignment horizontal="right"/>
    </xf>
    <xf numFmtId="0" fontId="0" fillId="7" borderId="0" applyAlignment="1" pivotButton="0" quotePrefix="0" xfId="0">
      <alignment horizontal="right"/>
    </xf>
    <xf numFmtId="0" fontId="6" fillId="8" borderId="0" applyAlignment="1" pivotButton="0" quotePrefix="0" xfId="2">
      <alignment horizontal="left"/>
    </xf>
    <xf numFmtId="0" fontId="0" fillId="9" borderId="0" applyAlignment="1" pivotButton="0" quotePrefix="0" xfId="0">
      <alignment horizontal="right"/>
    </xf>
    <xf numFmtId="9" fontId="7" fillId="7" borderId="0" applyAlignment="1" pivotButton="0" quotePrefix="0" xfId="4">
      <alignment horizontal="right"/>
    </xf>
    <xf numFmtId="2" fontId="0" fillId="7" borderId="0" applyAlignment="1" pivotButton="0" quotePrefix="0" xfId="0">
      <alignment horizontal="right"/>
    </xf>
    <xf numFmtId="165" fontId="0" fillId="7" borderId="8" applyAlignment="1" pivotButton="0" quotePrefix="0" xfId="0">
      <alignment horizontal="right"/>
    </xf>
    <xf numFmtId="0" fontId="6" fillId="10" borderId="0" applyAlignment="1" pivotButton="0" quotePrefix="0" xfId="2">
      <alignment horizontal="left"/>
    </xf>
    <xf numFmtId="0" fontId="0" fillId="11" borderId="0" applyAlignment="1" pivotButton="0" quotePrefix="0" xfId="0">
      <alignment horizontal="right"/>
    </xf>
    <xf numFmtId="0" fontId="6" fillId="12" borderId="0" applyAlignment="1" pivotButton="0" quotePrefix="0" xfId="2">
      <alignment horizontal="left"/>
    </xf>
    <xf numFmtId="0" fontId="6" fillId="7" borderId="0" applyAlignment="1" pivotButton="0" quotePrefix="0" xfId="2">
      <alignment horizontal="left"/>
    </xf>
    <xf numFmtId="0" fontId="6" fillId="7" borderId="0" applyAlignment="1" pivotButton="0" quotePrefix="0" xfId="0">
      <alignment horizontal="left"/>
    </xf>
    <xf numFmtId="0" fontId="6" fillId="6" borderId="0" applyAlignment="1" pivotButton="0" quotePrefix="0" xfId="2">
      <alignment horizontal="left"/>
    </xf>
    <xf numFmtId="0" fontId="6" fillId="13" borderId="0" applyAlignment="1" pivotButton="0" quotePrefix="0" xfId="2">
      <alignment horizontal="left"/>
    </xf>
    <xf numFmtId="0" fontId="6" fillId="14" borderId="0" applyAlignment="1" pivotButton="0" quotePrefix="0" xfId="2">
      <alignment horizontal="left"/>
    </xf>
    <xf numFmtId="0" fontId="6" fillId="4" borderId="0" applyAlignment="1" pivotButton="0" quotePrefix="0" xfId="2">
      <alignment horizontal="left"/>
    </xf>
    <xf numFmtId="0" fontId="6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/>
    </xf>
    <xf numFmtId="0" fontId="0" fillId="15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9" fontId="7" fillId="4" borderId="0" applyAlignment="1" pivotButton="0" quotePrefix="0" xfId="4">
      <alignment horizontal="right"/>
    </xf>
    <xf numFmtId="2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65" fontId="0" fillId="4" borderId="8" applyAlignment="1" pivotButton="0" quotePrefix="0" xfId="0">
      <alignment horizontal="right"/>
    </xf>
    <xf numFmtId="0" fontId="5" fillId="16" borderId="0" applyAlignment="1" pivotButton="0" quotePrefix="0" xfId="2">
      <alignment horizontal="left"/>
    </xf>
    <xf numFmtId="0" fontId="6" fillId="17" borderId="0" applyAlignment="1" pivotButton="0" quotePrefix="0" xfId="2">
      <alignment horizontal="left"/>
    </xf>
    <xf numFmtId="0" fontId="6" fillId="18" borderId="0" applyAlignment="1" pivotButton="0" quotePrefix="0" xfId="2">
      <alignment horizontal="left"/>
    </xf>
    <xf numFmtId="0" fontId="6" fillId="19" borderId="0" applyAlignment="1" pivotButton="0" quotePrefix="0" xfId="2">
      <alignment horizontal="left"/>
    </xf>
    <xf numFmtId="0" fontId="6" fillId="20" borderId="0" applyAlignment="1" pivotButton="0" quotePrefix="0" xfId="2">
      <alignment horizontal="left"/>
    </xf>
    <xf numFmtId="0" fontId="0" fillId="21" borderId="0" applyAlignment="1" pivotButton="0" quotePrefix="0" xfId="0">
      <alignment horizontal="right"/>
    </xf>
    <xf numFmtId="166" fontId="0" fillId="7" borderId="0" applyAlignment="1" pivotButton="0" quotePrefix="0" xfId="0">
      <alignment horizontal="right"/>
    </xf>
    <xf numFmtId="166" fontId="0" fillId="0" borderId="0" pivotButton="0" quotePrefix="0" xfId="0"/>
    <xf numFmtId="1" fontId="0" fillId="0" borderId="0" pivotButton="0" quotePrefix="0" xfId="0"/>
    <xf numFmtId="0" fontId="6" fillId="22" borderId="0" applyAlignment="1" pivotButton="0" quotePrefix="0" xfId="2">
      <alignment horizontal="left"/>
    </xf>
    <xf numFmtId="0" fontId="6" fillId="7" borderId="0" applyAlignment="1" pivotButton="0" quotePrefix="0" xfId="2">
      <alignment horizontal="right"/>
    </xf>
    <xf numFmtId="0" fontId="6" fillId="4" borderId="0" applyAlignment="1" pivotButton="0" quotePrefix="0" xfId="2">
      <alignment horizontal="right"/>
    </xf>
    <xf numFmtId="0" fontId="6" fillId="4" borderId="4" applyAlignment="1" pivotButton="0" quotePrefix="0" xfId="2">
      <alignment horizontal="left"/>
    </xf>
    <xf numFmtId="0" fontId="0" fillId="4" borderId="4" applyAlignment="1" pivotButton="0" quotePrefix="0" xfId="0">
      <alignment horizontal="right"/>
    </xf>
    <xf numFmtId="166" fontId="0" fillId="4" borderId="4" applyAlignment="1" pivotButton="0" quotePrefix="0" xfId="0">
      <alignment horizontal="right"/>
    </xf>
    <xf numFmtId="166" fontId="0" fillId="0" borderId="4" pivotButton="0" quotePrefix="0" xfId="0"/>
    <xf numFmtId="0" fontId="0" fillId="7" borderId="4" applyAlignment="1" pivotButton="0" quotePrefix="0" xfId="0">
      <alignment horizontal="right"/>
    </xf>
    <xf numFmtId="164" fontId="0" fillId="4" borderId="4" applyAlignment="1" pivotButton="0" quotePrefix="0" xfId="0">
      <alignment horizontal="right"/>
    </xf>
    <xf numFmtId="9" fontId="7" fillId="4" borderId="4" applyAlignment="1" pivotButton="0" quotePrefix="0" xfId="4">
      <alignment horizontal="right"/>
    </xf>
    <xf numFmtId="2" fontId="0" fillId="4" borderId="4" applyAlignment="1" pivotButton="0" quotePrefix="0" xfId="0">
      <alignment horizontal="right"/>
    </xf>
    <xf numFmtId="1" fontId="0" fillId="4" borderId="4" applyAlignment="1" pivotButton="0" quotePrefix="0" xfId="0">
      <alignment horizontal="right"/>
    </xf>
    <xf numFmtId="165" fontId="0" fillId="4" borderId="4" applyAlignment="1" pivotButton="0" quotePrefix="0" xfId="0">
      <alignment horizontal="right"/>
    </xf>
    <xf numFmtId="165" fontId="0" fillId="4" borderId="9" applyAlignment="1" pivotButton="0" quotePrefix="0" xfId="0">
      <alignment horizontal="right"/>
    </xf>
    <xf numFmtId="0" fontId="0" fillId="4" borderId="10" applyAlignment="1" pivotButton="0" quotePrefix="0" xfId="0">
      <alignment horizontal="right"/>
    </xf>
    <xf numFmtId="0" fontId="6" fillId="7" borderId="6" applyAlignment="1" pivotButton="0" quotePrefix="0" xfId="0">
      <alignment horizontal="left"/>
    </xf>
    <xf numFmtId="166" fontId="0" fillId="7" borderId="6" applyAlignment="1" pivotButton="0" quotePrefix="0" xfId="0">
      <alignment horizontal="right"/>
    </xf>
    <xf numFmtId="0" fontId="6" fillId="4" borderId="4" applyAlignment="1" pivotButton="0" quotePrefix="0" xfId="0">
      <alignment horizontal="left"/>
    </xf>
    <xf numFmtId="0" fontId="0" fillId="23" borderId="0" pivotButton="0" quotePrefix="0" xfId="0"/>
    <xf numFmtId="0" fontId="0" fillId="23" borderId="4" pivotButton="0" quotePrefix="0" xfId="0"/>
    <xf numFmtId="0" fontId="0" fillId="24" borderId="11" pivotButton="0" quotePrefix="0" xfId="0"/>
    <xf numFmtId="0" fontId="0" fillId="7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24" borderId="10" pivotButton="0" quotePrefix="0" xfId="0"/>
    <xf numFmtId="0" fontId="0" fillId="7" borderId="4" applyAlignment="1" pivotButton="0" quotePrefix="0" xfId="0">
      <alignment horizontal="left"/>
    </xf>
    <xf numFmtId="0" fontId="0" fillId="4" borderId="4" applyAlignment="1" pivotButton="0" quotePrefix="0" xfId="0">
      <alignment horizontal="left"/>
    </xf>
    <xf numFmtId="0" fontId="4" fillId="4" borderId="12" applyAlignment="1" pivotButton="0" quotePrefix="0" xfId="3">
      <alignment horizontal="left" vertical="center" wrapText="1"/>
    </xf>
    <xf numFmtId="0" fontId="4" fillId="4" borderId="12" applyAlignment="1" pivotButton="0" quotePrefix="0" xfId="3">
      <alignment horizontal="right" vertical="center" wrapText="1"/>
    </xf>
    <xf numFmtId="0" fontId="0" fillId="25" borderId="11" pivotButton="0" quotePrefix="0" xfId="0"/>
    <xf numFmtId="9" fontId="0" fillId="7" borderId="0" applyAlignment="1" pivotButton="0" quotePrefix="0" xfId="0">
      <alignment horizontal="right"/>
    </xf>
    <xf numFmtId="167" fontId="0" fillId="7" borderId="0" applyAlignment="1" pivotButton="0" quotePrefix="0" xfId="0">
      <alignment horizontal="right"/>
    </xf>
    <xf numFmtId="9" fontId="6" fillId="4" borderId="0" applyAlignment="1" pivotButton="0" quotePrefix="0" xfId="2">
      <alignment horizontal="right"/>
    </xf>
    <xf numFmtId="167" fontId="6" fillId="4" borderId="0" applyAlignment="1" pivotButton="0" quotePrefix="0" xfId="2">
      <alignment horizontal="right"/>
    </xf>
    <xf numFmtId="9" fontId="6" fillId="7" borderId="0" applyAlignment="1" pivotButton="0" quotePrefix="0" xfId="2">
      <alignment horizontal="right"/>
    </xf>
    <xf numFmtId="0" fontId="6" fillId="4" borderId="8" applyAlignment="1" pivotButton="0" quotePrefix="0" xfId="2">
      <alignment horizontal="right"/>
    </xf>
    <xf numFmtId="0" fontId="6" fillId="7" borderId="8" applyAlignment="1" pivotButton="0" quotePrefix="0" xfId="2">
      <alignment horizontal="right"/>
    </xf>
    <xf numFmtId="0" fontId="0" fillId="25" borderId="0" pivotButton="0" quotePrefix="0" xfId="0"/>
    <xf numFmtId="9" fontId="7" fillId="0" borderId="0" pivotButton="0" quotePrefix="0" xfId="4"/>
    <xf numFmtId="0" fontId="7" fillId="24" borderId="11" pivotButton="0" quotePrefix="0" xfId="0"/>
    <xf numFmtId="0" fontId="0" fillId="26" borderId="0" applyAlignment="1" pivotButton="0" quotePrefix="0" xfId="0">
      <alignment horizontal="left"/>
    </xf>
    <xf numFmtId="166" fontId="0" fillId="7" borderId="6" applyAlignment="1" pivotButton="0" quotePrefix="0" xfId="0">
      <alignment horizontal="right"/>
    </xf>
    <xf numFmtId="166" fontId="0" fillId="0" borderId="0" pivotButton="0" quotePrefix="0" xfId="0"/>
    <xf numFmtId="164" fontId="0" fillId="7" borderId="0" applyAlignment="1" pivotButton="0" quotePrefix="0" xfId="0">
      <alignment horizontal="right"/>
    </xf>
    <xf numFmtId="165" fontId="0" fillId="7" borderId="0" applyAlignment="1" pivotButton="0" quotePrefix="0" xfId="0">
      <alignment horizontal="right"/>
    </xf>
    <xf numFmtId="165" fontId="0" fillId="7" borderId="7" applyAlignment="1" pivotButton="0" quotePrefix="0" xfId="0">
      <alignment horizontal="right"/>
    </xf>
    <xf numFmtId="166" fontId="0" fillId="7" borderId="0" applyAlignment="1" pivotButton="0" quotePrefix="0" xfId="0">
      <alignment horizontal="right"/>
    </xf>
    <xf numFmtId="165" fontId="0" fillId="7" borderId="8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65" fontId="0" fillId="4" borderId="8" applyAlignment="1" pivotButton="0" quotePrefix="0" xfId="0">
      <alignment horizontal="right"/>
    </xf>
    <xf numFmtId="166" fontId="0" fillId="4" borderId="4" applyAlignment="1" pivotButton="0" quotePrefix="0" xfId="0">
      <alignment horizontal="right"/>
    </xf>
    <xf numFmtId="166" fontId="0" fillId="0" borderId="4" pivotButton="0" quotePrefix="0" xfId="0"/>
    <xf numFmtId="164" fontId="0" fillId="4" borderId="4" applyAlignment="1" pivotButton="0" quotePrefix="0" xfId="0">
      <alignment horizontal="right"/>
    </xf>
    <xf numFmtId="165" fontId="0" fillId="4" borderId="4" applyAlignment="1" pivotButton="0" quotePrefix="0" xfId="0">
      <alignment horizontal="right"/>
    </xf>
    <xf numFmtId="165" fontId="0" fillId="4" borderId="9" applyAlignment="1" pivotButton="0" quotePrefix="0" xfId="0">
      <alignment horizontal="right"/>
    </xf>
  </cellXfs>
  <cellStyles count="5">
    <cellStyle name="Standard" xfId="0" builtinId="0"/>
    <cellStyle name="Excel Built-in Bad" xfId="1"/>
    <cellStyle name="Excel Built-in Input" xfId="2"/>
    <cellStyle name="Excel Built-in Output" xfId="3"/>
    <cellStyle name="Prozent" xfId="4" builtinId="5"/>
  </cellStyles>
  <dxfs count="3">
    <dxf>
      <font>
        <name val="Calibri"/>
        <color rgb="FFCC0000"/>
        <sz val="11"/>
      </font>
      <fill>
        <patternFill patternType="solid">
          <fgColor rgb="FFFFCCCC"/>
          <bgColor rgb="FFFFCCCC"/>
        </patternFill>
      </fill>
    </dxf>
    <dxf>
      <font>
        <name val="Calibri"/>
        <color rgb="FFCC0000"/>
        <sz val="11"/>
      </font>
      <fill>
        <patternFill patternType="solid">
          <fgColor rgb="FFFFCCCC"/>
          <bgColor rgb="FFFFCCCC"/>
        </patternFill>
      </fill>
    </dxf>
    <dxf>
      <font>
        <name val="Calibri"/>
        <color rgb="FFCC0000"/>
        <sz val="11"/>
      </font>
      <fill>
        <patternFill patternType="solid">
          <fgColor rgb="FFFFCCCC"/>
          <bgColor rgb="FFFF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tc={007B00E7-0042-4ABA-AECB-00C600A500DF}</author>
  </authors>
  <commentList>
    <comment ref="O105" authorId="0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[Threaded comment]
Your version of Excel allows you to read this threaded comment; however, any edits to it will get removed if the file is opened in a newer version of Excel. Learn more: https://go.microsoft.com/fwlink/?linkid=870924
Comment:
    GPS for Apollo MTS
</t>
      </text>
    </comment>
  </commentList>
</comments>
</file>

<file path=xl/comments/comment2.xml><?xml version="1.0" encoding="utf-8"?>
<comments xmlns="http://schemas.openxmlformats.org/spreadsheetml/2006/main">
  <authors>
    <author>tc={00E600A5-008F-426D-A052-00B6006200FE}</author>
  </authors>
  <commentList>
    <comment ref="I3" authorId="0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Includes annualised capex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85" workbookViewId="0">
      <pane ySplit="1" topLeftCell="A2" activePane="bottomLeft" state="frozen"/>
      <selection activeCell="J53" sqref="J53"/>
      <selection pane="bottomLeft" activeCell="G44" sqref="G44"/>
    </sheetView>
  </sheetViews>
  <sheetFormatPr baseColWidth="10" defaultColWidth="8.7109375" defaultRowHeight="15"/>
  <cols>
    <col width="24" customWidth="1" min="1" max="1"/>
    <col width="18.7109375" customWidth="1" style="1" min="2" max="2"/>
    <col width="8.85546875" customWidth="1" style="1" min="3" max="3"/>
    <col width="11.140625" customWidth="1" style="1" min="4" max="4"/>
    <col width="9.28515625" customWidth="1" style="2" min="5" max="5"/>
    <col width="9.42578125" customWidth="1" style="2" min="6" max="6"/>
    <col width="9.140625" customWidth="1" style="2" min="7" max="7"/>
    <col width="12.42578125" customWidth="1" style="2" min="8" max="8"/>
    <col width="15.140625" customWidth="1" style="2" min="9" max="9"/>
    <col width="16.42578125" customWidth="1" style="2" min="10" max="10"/>
    <col width="9.140625" customWidth="1" style="2" min="11" max="11"/>
    <col width="9.7109375" customWidth="1" style="2" min="12" max="12"/>
    <col width="13.140625" customWidth="1" style="2" min="13" max="13"/>
    <col width="14.85546875" customWidth="1" style="2" min="14" max="14"/>
    <col width="14.42578125" customWidth="1" style="2" min="15" max="15"/>
    <col width="14.7109375" bestFit="1" customWidth="1" style="2" min="16" max="16"/>
    <col width="10.7109375" customWidth="1" style="2" min="17" max="17"/>
    <col width="11.85546875" customWidth="1" style="2" min="18" max="18"/>
    <col width="10.7109375" customWidth="1" style="2" min="19" max="19"/>
    <col width="11" customWidth="1" style="2" min="20" max="20"/>
    <col width="10.7109375" customWidth="1" style="2" min="21" max="21"/>
    <col width="8.7109375" customWidth="1" style="2" min="22" max="22"/>
    <col width="10.7109375" customWidth="1" style="2" min="23" max="23"/>
    <col width="13.42578125" customWidth="1" style="2" min="24" max="24"/>
    <col width="14.28515625" customWidth="1" style="2" min="25" max="25"/>
    <col width="10.7109375" customWidth="1" style="2" min="26" max="26"/>
    <col width="9.42578125" customWidth="1" style="2" min="27" max="27"/>
    <col width="10.7109375" customWidth="1" style="2" min="28" max="28"/>
    <col width="8.28515625" customWidth="1" style="2" min="29" max="29"/>
    <col width="7.85546875" customWidth="1" style="2" min="30" max="30"/>
    <col width="12.28515625" bestFit="1" customWidth="1" style="2" min="31" max="31"/>
  </cols>
  <sheetData>
    <row r="1" ht="60" customFormat="1" customHeight="1" s="3">
      <c r="A1" s="4" t="inlineStr">
        <is>
          <t>scenario</t>
        </is>
      </c>
      <c r="B1" s="4" t="inlineStr">
        <is>
          <t>station_name</t>
        </is>
      </c>
      <c r="C1" s="4" t="inlineStr">
        <is>
          <t>grouping</t>
        </is>
      </c>
      <c r="D1" s="4" t="inlineStr">
        <is>
          <t>carrier</t>
        </is>
      </c>
      <c r="E1" s="5" t="inlineStr">
        <is>
          <t>dispatch_committable</t>
        </is>
      </c>
      <c r="F1" s="5" t="inlineStr">
        <is>
          <t>unit_size (MW)</t>
        </is>
      </c>
      <c r="G1" s="5" t="inlineStr">
        <is>
          <t>number_units</t>
        </is>
      </c>
      <c r="H1" s="5" t="inlineStr">
        <is>
          <t>capacity (MW)</t>
        </is>
      </c>
      <c r="I1" s="5" t="inlineStr">
        <is>
          <t>commissioning_date</t>
        </is>
      </c>
      <c r="J1" s="5" t="inlineStr">
        <is>
          <t>decommissioning_date</t>
        </is>
      </c>
      <c r="K1" s="5" t="inlineStr">
        <is>
          <t>avg_heat_rate (GJ/MWh)</t>
        </is>
      </c>
      <c r="L1" s="5" t="inlineStr">
        <is>
          <t>marginal_heat_rate (GJ/MWh)</t>
        </is>
      </c>
      <c r="M1" s="5" t="inlineStr">
        <is>
          <t>no_load_heat_rate (GJ/h)</t>
        </is>
      </c>
      <c r="N1" s="5" t="inlineStr">
        <is>
          <t>co2_emissions_input (kgCO2/GJ)</t>
        </is>
      </c>
      <c r="O1" s="5" t="inlineStr">
        <is>
          <t>co2_emissions_output (kgCO2/MWh)</t>
        </is>
      </c>
      <c r="P1" s="5" t="inlineStr">
        <is>
          <t>fuel_price (R/GJ)</t>
        </is>
      </c>
      <c r="Q1" s="5" t="inlineStr">
        <is>
          <t>max_ramp_up (%/h)</t>
        </is>
      </c>
      <c r="R1" s="5" t="inlineStr">
        <is>
          <t>max_ramp_down (%/h)</t>
        </is>
      </c>
      <c r="S1" s="5" t="inlineStr">
        <is>
          <t>max_ramp_start_up (%/h)</t>
        </is>
      </c>
      <c r="T1" s="5" t="inlineStr">
        <is>
          <t>max_ramp_shut_down (%/h)</t>
        </is>
      </c>
      <c r="U1" s="5" t="inlineStr">
        <is>
          <t>min_stable_level (%)</t>
        </is>
      </c>
      <c r="V1" s="5" t="inlineStr">
        <is>
          <t>min_up_time (h)</t>
        </is>
      </c>
      <c r="W1" s="5" t="inlineStr">
        <is>
          <t>min_down_time (h)</t>
        </is>
      </c>
      <c r="X1" s="5" t="inlineStr">
        <is>
          <t>variable_om_cost (R/MWh)</t>
        </is>
      </c>
      <c r="Y1" s="6" t="inlineStr">
        <is>
          <t>fixed_om_cost (R/kW/yr)</t>
        </is>
      </c>
      <c r="Z1" s="7" t="inlineStr">
        <is>
          <t>unit_start_cost (R)</t>
        </is>
      </c>
      <c r="AA1" s="8" t="inlineStr">
        <is>
          <t>start_up_cost (R)</t>
        </is>
      </c>
      <c r="AB1" s="5" t="inlineStr">
        <is>
          <t>shut_down_cost (R)</t>
        </is>
      </c>
      <c r="AC1" s="5" t="inlineStr">
        <is>
          <t>gps_lat</t>
        </is>
      </c>
      <c r="AD1" s="5" t="inlineStr">
        <is>
          <t>gps_lon</t>
        </is>
      </c>
      <c r="AE1" s="5" t="inlineStr">
        <is>
          <t>comments</t>
        </is>
      </c>
    </row>
    <row r="2">
      <c r="A2" s="71" t="inlineStr">
        <is>
          <t>BASE_PMR1b</t>
        </is>
      </c>
      <c r="B2" s="9" t="inlineStr">
        <is>
          <t>Arnot</t>
        </is>
      </c>
      <c r="C2" s="28" t="inlineStr">
        <is>
          <t>eskom</t>
        </is>
      </c>
      <c r="D2" s="68" t="inlineStr">
        <is>
          <t>coal</t>
        </is>
      </c>
      <c r="E2" s="13" t="b">
        <v>1</v>
      </c>
      <c r="F2" s="13" t="n">
        <v>350</v>
      </c>
      <c r="G2" s="13" t="n">
        <v>1</v>
      </c>
      <c r="H2" s="13" t="n">
        <v>2100</v>
      </c>
      <c r="I2" s="19" t="inlineStr">
        <is>
          <t>pre</t>
        </is>
      </c>
      <c r="J2" s="35" t="n">
        <v>2030</v>
      </c>
      <c r="K2" s="93" t="n">
        <v>13.54166666666667</v>
      </c>
      <c r="L2" s="94">
        <f>K2</f>
        <v/>
      </c>
      <c r="M2" s="52" t="n">
        <v>0</v>
      </c>
      <c r="N2" s="19" t="n">
        <v>96</v>
      </c>
      <c r="O2" s="13" t="n">
        <v>1300</v>
      </c>
      <c r="P2" s="10" t="inlineStr">
        <is>
          <t>med_group</t>
        </is>
      </c>
      <c r="Q2" s="95" t="n">
        <v>0.345</v>
      </c>
      <c r="R2" s="95" t="n">
        <v>0.345</v>
      </c>
      <c r="S2" s="95" t="n">
        <v>0.65</v>
      </c>
      <c r="T2" s="95" t="n">
        <v>0.65</v>
      </c>
      <c r="U2" s="12" t="n">
        <v>0.65</v>
      </c>
      <c r="V2" s="13" t="n">
        <v>24</v>
      </c>
      <c r="W2" s="13" t="n">
        <v>8</v>
      </c>
      <c r="X2" s="14" t="n">
        <v>93.77815699658699</v>
      </c>
      <c r="Y2" s="15" t="n">
        <v>1248.039337883962</v>
      </c>
      <c r="Z2" s="15" t="n">
        <v>1000000</v>
      </c>
      <c r="AA2" s="16" t="n">
        <v>500000</v>
      </c>
      <c r="AB2" s="16" t="n">
        <v>500000</v>
      </c>
      <c r="AC2" s="96" t="n">
        <v>-25.94444</v>
      </c>
      <c r="AD2" s="97" t="n">
        <v>29.79166</v>
      </c>
      <c r="AE2" s="19" t="n"/>
    </row>
    <row r="3">
      <c r="A3" s="71">
        <f>A2</f>
        <v/>
      </c>
      <c r="B3" s="20" t="inlineStr">
        <is>
          <t>Camden</t>
        </is>
      </c>
      <c r="C3" s="28" t="inlineStr">
        <is>
          <t>eskom</t>
        </is>
      </c>
      <c r="D3" s="29" t="inlineStr">
        <is>
          <t>coal</t>
        </is>
      </c>
      <c r="E3" s="19" t="b">
        <v>1</v>
      </c>
      <c r="F3" s="19" t="n">
        <v>190</v>
      </c>
      <c r="G3" s="19" t="n">
        <v>1</v>
      </c>
      <c r="H3" s="19" t="n">
        <v>1481</v>
      </c>
      <c r="I3" s="19" t="inlineStr">
        <is>
          <t>pre</t>
        </is>
      </c>
      <c r="J3" s="35" t="n">
        <v>2030</v>
      </c>
      <c r="K3" s="98" t="n">
        <v>14.375</v>
      </c>
      <c r="L3" s="94">
        <f>K3</f>
        <v/>
      </c>
      <c r="M3" s="52" t="n">
        <v>0</v>
      </c>
      <c r="N3" s="19" t="n">
        <v>96</v>
      </c>
      <c r="O3" s="19" t="n">
        <v>1380</v>
      </c>
      <c r="P3" s="21" t="inlineStr">
        <is>
          <t>high_group</t>
        </is>
      </c>
      <c r="Q3" s="95" t="n">
        <v>0.178378378378378</v>
      </c>
      <c r="R3" s="95" t="n">
        <v>0.178378378378378</v>
      </c>
      <c r="S3" s="95" t="n">
        <v>0.65</v>
      </c>
      <c r="T3" s="95" t="n">
        <v>0.65</v>
      </c>
      <c r="U3" s="22" t="n">
        <v>0.65</v>
      </c>
      <c r="V3" s="19" t="n">
        <v>24</v>
      </c>
      <c r="W3" s="19" t="n">
        <v>8</v>
      </c>
      <c r="X3" s="23" t="n">
        <v>93.77815699658699</v>
      </c>
      <c r="Y3" s="15" t="n">
        <v>1674.031238907855</v>
      </c>
      <c r="Z3" s="15" t="n">
        <v>1000000</v>
      </c>
      <c r="AA3" s="15" t="n">
        <v>500000</v>
      </c>
      <c r="AB3" s="15" t="n">
        <v>500000</v>
      </c>
      <c r="AC3" s="96" t="n">
        <v>-26.62007</v>
      </c>
      <c r="AD3" s="99" t="n">
        <v>30.09113</v>
      </c>
      <c r="AE3" s="19" t="n"/>
    </row>
    <row r="4">
      <c r="A4" s="71">
        <f>A3</f>
        <v/>
      </c>
      <c r="B4" s="25" t="inlineStr">
        <is>
          <t>Duvha</t>
        </is>
      </c>
      <c r="C4" s="28" t="inlineStr">
        <is>
          <t>eskom</t>
        </is>
      </c>
      <c r="D4" s="29" t="inlineStr">
        <is>
          <t>coal</t>
        </is>
      </c>
      <c r="E4" s="19" t="b">
        <v>1</v>
      </c>
      <c r="F4" s="19" t="n">
        <v>575</v>
      </c>
      <c r="G4" s="19" t="n">
        <v>1</v>
      </c>
      <c r="H4" s="19" t="n">
        <v>2875</v>
      </c>
      <c r="I4" s="19" t="inlineStr">
        <is>
          <t>pre</t>
        </is>
      </c>
      <c r="J4" s="35" t="n">
        <v>2034</v>
      </c>
      <c r="K4" s="98" t="n">
        <v>11.66666666666667</v>
      </c>
      <c r="L4" s="94">
        <f>K4</f>
        <v/>
      </c>
      <c r="M4" s="52" t="n">
        <v>0</v>
      </c>
      <c r="N4" s="19" t="n">
        <v>96</v>
      </c>
      <c r="O4" s="19" t="n">
        <v>1120</v>
      </c>
      <c r="P4" s="26" t="inlineStr">
        <is>
          <t>low_group</t>
        </is>
      </c>
      <c r="Q4" s="95" t="n">
        <v>0.4</v>
      </c>
      <c r="R4" s="95" t="n">
        <v>0.4</v>
      </c>
      <c r="S4" s="95" t="n">
        <v>0.65</v>
      </c>
      <c r="T4" s="95" t="n">
        <v>0.65</v>
      </c>
      <c r="U4" s="22" t="n">
        <v>0.65</v>
      </c>
      <c r="V4" s="19" t="n">
        <v>24</v>
      </c>
      <c r="W4" s="19" t="n">
        <v>8</v>
      </c>
      <c r="X4" s="23" t="n">
        <v>93.77815699658699</v>
      </c>
      <c r="Y4" s="15" t="n">
        <v>1195.415262798633</v>
      </c>
      <c r="Z4" s="15" t="n">
        <v>1000000</v>
      </c>
      <c r="AA4" s="15" t="n">
        <v>500000</v>
      </c>
      <c r="AB4" s="15" t="n">
        <v>500000</v>
      </c>
      <c r="AC4" s="96" t="n">
        <v>-25.95954</v>
      </c>
      <c r="AD4" s="99" t="n">
        <v>29.34094</v>
      </c>
      <c r="AE4" s="19" t="n"/>
    </row>
    <row r="5">
      <c r="A5" s="71">
        <f>A4</f>
        <v/>
      </c>
      <c r="B5" s="27" t="inlineStr">
        <is>
          <t>Grootvlei</t>
        </is>
      </c>
      <c r="C5" s="28" t="inlineStr">
        <is>
          <t>eskom</t>
        </is>
      </c>
      <c r="D5" s="29" t="inlineStr">
        <is>
          <t>coal</t>
        </is>
      </c>
      <c r="E5" s="19" t="b">
        <v>1</v>
      </c>
      <c r="F5" s="19" t="n">
        <v>190</v>
      </c>
      <c r="G5" s="19" t="n">
        <v>1</v>
      </c>
      <c r="H5" s="19" t="n">
        <v>570</v>
      </c>
      <c r="I5" s="19" t="inlineStr">
        <is>
          <t>pre</t>
        </is>
      </c>
      <c r="J5" s="35" t="n">
        <v>2030</v>
      </c>
      <c r="K5" s="98" t="n">
        <v>15</v>
      </c>
      <c r="L5" s="94">
        <f>K5</f>
        <v/>
      </c>
      <c r="M5" s="52" t="n">
        <v>0</v>
      </c>
      <c r="N5" s="19" t="n">
        <v>96</v>
      </c>
      <c r="O5" s="19" t="n">
        <v>1440</v>
      </c>
      <c r="P5" s="21" t="inlineStr">
        <is>
          <t>high_group</t>
        </is>
      </c>
      <c r="Q5" s="95" t="n">
        <v>0.167</v>
      </c>
      <c r="R5" s="95" t="n">
        <v>0.167</v>
      </c>
      <c r="S5" s="95" t="n">
        <v>0.65</v>
      </c>
      <c r="T5" s="95" t="n">
        <v>0.65</v>
      </c>
      <c r="U5" s="22" t="n">
        <v>0.65</v>
      </c>
      <c r="V5" s="19" t="n">
        <v>24</v>
      </c>
      <c r="W5" s="19" t="n">
        <v>8</v>
      </c>
      <c r="X5" s="23" t="n">
        <v>93.77815699658699</v>
      </c>
      <c r="Y5" s="15" t="n">
        <v>1247.999713310582</v>
      </c>
      <c r="Z5" s="15" t="n">
        <v>1000000</v>
      </c>
      <c r="AA5" s="15" t="n">
        <v>500000</v>
      </c>
      <c r="AB5" s="15" t="n">
        <v>500000</v>
      </c>
      <c r="AC5" s="96" t="n">
        <v>-26.76955</v>
      </c>
      <c r="AD5" s="99" t="n">
        <v>28.49951</v>
      </c>
      <c r="AE5" s="19" t="n"/>
    </row>
    <row r="6">
      <c r="A6" s="71">
        <f>A5</f>
        <v/>
      </c>
      <c r="B6" s="30" t="inlineStr">
        <is>
          <t>Hendrina</t>
        </is>
      </c>
      <c r="C6" s="28" t="inlineStr">
        <is>
          <t>eskom</t>
        </is>
      </c>
      <c r="D6" s="29" t="inlineStr">
        <is>
          <t>coal</t>
        </is>
      </c>
      <c r="E6" s="19" t="b">
        <v>1</v>
      </c>
      <c r="F6" s="19" t="n">
        <v>190</v>
      </c>
      <c r="G6" s="19" t="n">
        <v>1</v>
      </c>
      <c r="H6" s="19" t="n">
        <v>1098</v>
      </c>
      <c r="I6" s="19" t="inlineStr">
        <is>
          <t>pre</t>
        </is>
      </c>
      <c r="J6" s="35" t="n">
        <v>2030</v>
      </c>
      <c r="K6" s="98" t="n">
        <v>14.375</v>
      </c>
      <c r="L6" s="94">
        <f>K6</f>
        <v/>
      </c>
      <c r="M6" s="52" t="n">
        <v>0</v>
      </c>
      <c r="N6" s="19" t="n">
        <v>96</v>
      </c>
      <c r="O6" s="19" t="n">
        <v>1380</v>
      </c>
      <c r="P6" s="10" t="inlineStr">
        <is>
          <t>med_group</t>
        </is>
      </c>
      <c r="Q6" s="95" t="n">
        <v>0.333</v>
      </c>
      <c r="R6" s="95" t="n">
        <v>0.333</v>
      </c>
      <c r="S6" s="95" t="n">
        <v>0.65</v>
      </c>
      <c r="T6" s="95" t="n">
        <v>0.65</v>
      </c>
      <c r="U6" s="22" t="n">
        <v>0.65</v>
      </c>
      <c r="V6" s="19" t="n">
        <v>24</v>
      </c>
      <c r="W6" s="19" t="n">
        <v>8</v>
      </c>
      <c r="X6" s="23" t="n">
        <v>93.77815699658699</v>
      </c>
      <c r="Y6" s="15" t="n">
        <v>1248.004996587035</v>
      </c>
      <c r="Z6" s="15" t="n">
        <v>1000000</v>
      </c>
      <c r="AA6" s="15" t="n">
        <v>500000</v>
      </c>
      <c r="AB6" s="15" t="n">
        <v>500000</v>
      </c>
      <c r="AC6" s="96" t="n">
        <v>-26.03138</v>
      </c>
      <c r="AD6" s="99" t="n">
        <v>29.60138</v>
      </c>
      <c r="AE6" s="19" t="n"/>
    </row>
    <row r="7">
      <c r="A7" s="71">
        <f>A6</f>
        <v/>
      </c>
      <c r="B7" s="31" t="inlineStr">
        <is>
          <t>Kelvin</t>
        </is>
      </c>
      <c r="C7" s="28" t="inlineStr">
        <is>
          <t>IPP</t>
        </is>
      </c>
      <c r="D7" s="29" t="inlineStr">
        <is>
          <t>coal</t>
        </is>
      </c>
      <c r="E7" s="19" t="b">
        <v>1</v>
      </c>
      <c r="F7" s="19" t="n">
        <v>80</v>
      </c>
      <c r="G7" s="19" t="n">
        <v>2</v>
      </c>
      <c r="H7" s="19" t="n">
        <v>160</v>
      </c>
      <c r="I7" s="19" t="inlineStr">
        <is>
          <t>pre</t>
        </is>
      </c>
      <c r="J7" s="35" t="n">
        <v>2030</v>
      </c>
      <c r="K7" s="98" t="n">
        <v>14.32291666666667</v>
      </c>
      <c r="L7" s="94">
        <f>K7</f>
        <v/>
      </c>
      <c r="M7" s="52" t="n">
        <v>0</v>
      </c>
      <c r="N7" s="19" t="n">
        <v>96</v>
      </c>
      <c r="O7" s="19" t="n">
        <v>1375</v>
      </c>
      <c r="P7" s="21" t="inlineStr">
        <is>
          <t>high_group</t>
        </is>
      </c>
      <c r="Q7" s="95" t="n">
        <v>0.375</v>
      </c>
      <c r="R7" s="95" t="n">
        <v>0.375</v>
      </c>
      <c r="S7" s="95" t="n">
        <v>0.65</v>
      </c>
      <c r="T7" s="95" t="n">
        <v>0.65</v>
      </c>
      <c r="U7" s="22" t="n">
        <v>0.65</v>
      </c>
      <c r="V7" s="19" t="n">
        <v>24</v>
      </c>
      <c r="W7" s="19" t="n">
        <v>8</v>
      </c>
      <c r="X7" s="23" t="n">
        <v>105.6655290102388</v>
      </c>
      <c r="Y7" s="15" t="n">
        <v>1275.065938566554</v>
      </c>
      <c r="Z7" s="15" t="n">
        <v>1000000</v>
      </c>
      <c r="AA7" s="15" t="n">
        <v>1000000</v>
      </c>
      <c r="AB7" s="15" t="n">
        <v>1000000</v>
      </c>
      <c r="AC7" s="96" t="n">
        <v>-26.115776</v>
      </c>
      <c r="AD7" s="99" t="n">
        <v>28.1138</v>
      </c>
      <c r="AE7" s="19" t="n"/>
    </row>
    <row r="8">
      <c r="A8" s="71">
        <f>A7</f>
        <v/>
      </c>
      <c r="B8" s="32" t="inlineStr">
        <is>
          <t>Kendal</t>
        </is>
      </c>
      <c r="C8" s="33" t="inlineStr">
        <is>
          <t>eskom</t>
        </is>
      </c>
      <c r="D8" s="34" t="inlineStr">
        <is>
          <t>coal</t>
        </is>
      </c>
      <c r="E8" s="35" t="b">
        <v>1</v>
      </c>
      <c r="F8" s="35" t="n">
        <v>640</v>
      </c>
      <c r="G8" s="35" t="n">
        <v>1</v>
      </c>
      <c r="H8" s="35" t="n">
        <v>3840</v>
      </c>
      <c r="I8" s="35" t="inlineStr">
        <is>
          <t>pre</t>
        </is>
      </c>
      <c r="J8" s="36" t="n">
        <v>2045</v>
      </c>
      <c r="K8" s="100" t="n">
        <v>12.29166666666667</v>
      </c>
      <c r="L8" s="94">
        <f>K8</f>
        <v/>
      </c>
      <c r="M8" s="52" t="n">
        <v>0</v>
      </c>
      <c r="N8" s="35" t="n">
        <v>96</v>
      </c>
      <c r="O8" s="35" t="n">
        <v>1180</v>
      </c>
      <c r="P8" s="10" t="inlineStr">
        <is>
          <t>med_group</t>
        </is>
      </c>
      <c r="Q8" s="101" t="n">
        <v>0.167</v>
      </c>
      <c r="R8" s="101" t="n">
        <v>0.167</v>
      </c>
      <c r="S8" s="101" t="n">
        <v>0.65</v>
      </c>
      <c r="T8" s="101" t="n">
        <v>0.65</v>
      </c>
      <c r="U8" s="39" t="n">
        <v>0.65</v>
      </c>
      <c r="V8" s="35" t="n">
        <v>24</v>
      </c>
      <c r="W8" s="35" t="n">
        <v>8</v>
      </c>
      <c r="X8" s="40" t="n">
        <v>93.77815699658699</v>
      </c>
      <c r="Y8" s="41" t="n">
        <v>1187.486385665532</v>
      </c>
      <c r="Z8" s="41" t="n">
        <v>1000000</v>
      </c>
      <c r="AA8" s="41" t="n">
        <v>500000</v>
      </c>
      <c r="AB8" s="41" t="n">
        <v>500000</v>
      </c>
      <c r="AC8" s="102" t="n">
        <v>-26.08805</v>
      </c>
      <c r="AD8" s="103" t="n">
        <v>28.96888</v>
      </c>
      <c r="AE8" s="35" t="n"/>
    </row>
    <row r="9">
      <c r="A9" s="71">
        <f>A8</f>
        <v/>
      </c>
      <c r="B9" s="44" t="inlineStr">
        <is>
          <t>Komati</t>
        </is>
      </c>
      <c r="C9" s="33" t="inlineStr">
        <is>
          <t>eskom</t>
        </is>
      </c>
      <c r="D9" s="34" t="inlineStr">
        <is>
          <t>coal</t>
        </is>
      </c>
      <c r="E9" s="35" t="b">
        <v>1</v>
      </c>
      <c r="F9" s="35" t="n">
        <v>114</v>
      </c>
      <c r="G9" s="35" t="n">
        <v>1</v>
      </c>
      <c r="H9" s="35" t="n">
        <v>114</v>
      </c>
      <c r="I9" s="35" t="inlineStr">
        <is>
          <t>pre</t>
        </is>
      </c>
      <c r="J9" s="35" t="n">
        <v>2024</v>
      </c>
      <c r="K9" s="100" t="n">
        <v>11.45833333333333</v>
      </c>
      <c r="L9" s="94">
        <f>K9</f>
        <v/>
      </c>
      <c r="M9" s="52" t="n">
        <v>0</v>
      </c>
      <c r="N9" s="35" t="n">
        <v>96</v>
      </c>
      <c r="O9" s="35" t="n">
        <v>1100</v>
      </c>
      <c r="P9" s="21" t="inlineStr">
        <is>
          <t>high_group</t>
        </is>
      </c>
      <c r="Q9" s="101" t="n">
        <v>0.167</v>
      </c>
      <c r="R9" s="101" t="n">
        <v>0.167</v>
      </c>
      <c r="S9" s="101" t="n">
        <v>0.65</v>
      </c>
      <c r="T9" s="101" t="n">
        <v>0.65</v>
      </c>
      <c r="U9" s="39" t="n">
        <v>0.65</v>
      </c>
      <c r="V9" s="35" t="n">
        <v>24</v>
      </c>
      <c r="W9" s="35" t="n">
        <v>8</v>
      </c>
      <c r="X9" s="40" t="n">
        <v>93.77815699658699</v>
      </c>
      <c r="Y9" s="41" t="n">
        <v>1184.32038225256</v>
      </c>
      <c r="Z9" s="41" t="n">
        <v>1000000</v>
      </c>
      <c r="AA9" s="41" t="n">
        <v>500000</v>
      </c>
      <c r="AB9" s="41" t="n">
        <v>500000</v>
      </c>
      <c r="AC9" s="102" t="n">
        <v>-26.09078</v>
      </c>
      <c r="AD9" s="103" t="n">
        <v>29.47446</v>
      </c>
      <c r="AE9" s="35" t="n"/>
    </row>
    <row r="10">
      <c r="A10" s="71">
        <f>A9</f>
        <v/>
      </c>
      <c r="B10" s="45" t="inlineStr">
        <is>
          <t>Kriel</t>
        </is>
      </c>
      <c r="C10" s="28" t="inlineStr">
        <is>
          <t>eskom</t>
        </is>
      </c>
      <c r="D10" s="29" t="inlineStr">
        <is>
          <t>coal</t>
        </is>
      </c>
      <c r="E10" s="19" t="b">
        <v>1</v>
      </c>
      <c r="F10" s="19" t="n">
        <v>405</v>
      </c>
      <c r="G10" s="19" t="n">
        <v>1</v>
      </c>
      <c r="H10" s="19" t="n">
        <v>2640</v>
      </c>
      <c r="I10" s="19" t="inlineStr">
        <is>
          <t>pre</t>
        </is>
      </c>
      <c r="J10" s="35" t="n">
        <v>2031</v>
      </c>
      <c r="K10" s="98" t="n">
        <v>12.8125</v>
      </c>
      <c r="L10" s="94">
        <f>K10</f>
        <v/>
      </c>
      <c r="M10" s="52" t="n">
        <v>0</v>
      </c>
      <c r="N10" s="19" t="n">
        <v>96</v>
      </c>
      <c r="O10" s="19" t="n">
        <v>1230</v>
      </c>
      <c r="P10" s="21" t="inlineStr">
        <is>
          <t>high_group</t>
        </is>
      </c>
      <c r="Q10" s="95" t="n">
        <v>0.454736842105263</v>
      </c>
      <c r="R10" s="95" t="n">
        <v>0.454736842105263</v>
      </c>
      <c r="S10" s="95" t="n">
        <v>0.65</v>
      </c>
      <c r="T10" s="95" t="n">
        <v>0.65</v>
      </c>
      <c r="U10" s="22" t="n">
        <v>0.65</v>
      </c>
      <c r="V10" s="19" t="n">
        <v>24</v>
      </c>
      <c r="W10" s="19" t="n">
        <v>8</v>
      </c>
      <c r="X10" s="23" t="n">
        <v>93.77815699658699</v>
      </c>
      <c r="Y10" s="15" t="n">
        <v>1184.32038225256</v>
      </c>
      <c r="Z10" s="15" t="n">
        <v>1000000</v>
      </c>
      <c r="AA10" s="15" t="n">
        <v>500000</v>
      </c>
      <c r="AB10" s="15" t="n">
        <v>500000</v>
      </c>
      <c r="AC10" s="96" t="n">
        <v>-26.25404</v>
      </c>
      <c r="AD10" s="99" t="n">
        <v>29.18008</v>
      </c>
      <c r="AE10" s="19" t="n"/>
    </row>
    <row r="11">
      <c r="A11" s="71">
        <f>A10</f>
        <v/>
      </c>
      <c r="B11" s="46" t="inlineStr">
        <is>
          <t>Kusile</t>
        </is>
      </c>
      <c r="C11" s="33" t="inlineStr">
        <is>
          <t>eskom</t>
        </is>
      </c>
      <c r="D11" s="34" t="inlineStr">
        <is>
          <t>coal</t>
        </is>
      </c>
      <c r="E11" s="35" t="b">
        <v>1</v>
      </c>
      <c r="F11" s="35" t="n">
        <v>720</v>
      </c>
      <c r="G11" s="35" t="n">
        <v>1</v>
      </c>
      <c r="H11" s="35" t="n">
        <v>4320</v>
      </c>
      <c r="I11" s="35" t="inlineStr">
        <is>
          <t>pre</t>
        </is>
      </c>
      <c r="J11" s="35" t="n">
        <v>2060</v>
      </c>
      <c r="K11" s="100" t="n">
        <v>10.41666666666667</v>
      </c>
      <c r="L11" s="94">
        <f>K11</f>
        <v/>
      </c>
      <c r="M11" s="52" t="n">
        <v>0</v>
      </c>
      <c r="N11" s="35" t="n">
        <v>96</v>
      </c>
      <c r="O11" s="35" t="n">
        <v>1000</v>
      </c>
      <c r="P11" s="21" t="inlineStr">
        <is>
          <t>high_group</t>
        </is>
      </c>
      <c r="Q11" s="101" t="n">
        <v>0.6</v>
      </c>
      <c r="R11" s="101" t="n">
        <v>0.6</v>
      </c>
      <c r="S11" s="101" t="n">
        <v>0.65</v>
      </c>
      <c r="T11" s="101" t="n">
        <v>0.65</v>
      </c>
      <c r="U11" s="39" t="n">
        <v>0.65</v>
      </c>
      <c r="V11" s="35" t="n">
        <v>24</v>
      </c>
      <c r="W11" s="35" t="n">
        <v>8</v>
      </c>
      <c r="X11" s="40" t="n">
        <v>129.4402730375424</v>
      </c>
      <c r="Y11" s="41" t="n">
        <v>1236.949740614332</v>
      </c>
      <c r="Z11" s="41" t="n">
        <v>1000000</v>
      </c>
      <c r="AA11" s="41" t="n">
        <v>500000</v>
      </c>
      <c r="AB11" s="41" t="n">
        <v>500000</v>
      </c>
      <c r="AC11" s="102" t="n">
        <v>-25.92007</v>
      </c>
      <c r="AD11" s="103" t="n">
        <v>28.924942</v>
      </c>
      <c r="AE11" s="35" t="n"/>
    </row>
    <row r="12">
      <c r="A12" s="71">
        <f>A11</f>
        <v/>
      </c>
      <c r="B12" s="47" t="inlineStr">
        <is>
          <t>Lethabo</t>
        </is>
      </c>
      <c r="C12" s="28" t="inlineStr">
        <is>
          <t>eskom</t>
        </is>
      </c>
      <c r="D12" s="29" t="inlineStr">
        <is>
          <t>coal</t>
        </is>
      </c>
      <c r="E12" s="19" t="b">
        <v>1</v>
      </c>
      <c r="F12" s="19" t="n">
        <v>593</v>
      </c>
      <c r="G12" s="19" t="n">
        <v>1</v>
      </c>
      <c r="H12" s="19" t="n">
        <v>3558</v>
      </c>
      <c r="I12" s="19" t="inlineStr">
        <is>
          <t>pre</t>
        </is>
      </c>
      <c r="J12" s="35" t="n">
        <v>2042</v>
      </c>
      <c r="K12" s="98" t="n">
        <v>11.25</v>
      </c>
      <c r="L12" s="94">
        <f>K12</f>
        <v/>
      </c>
      <c r="M12" s="52" t="n">
        <v>0</v>
      </c>
      <c r="N12" s="19" t="n">
        <v>96</v>
      </c>
      <c r="O12" s="19" t="n">
        <v>1080</v>
      </c>
      <c r="P12" s="26" t="inlineStr">
        <is>
          <t>low_group</t>
        </is>
      </c>
      <c r="Q12" s="95" t="n">
        <v>0.596964586846543</v>
      </c>
      <c r="R12" s="95" t="n">
        <v>0.596964586846543</v>
      </c>
      <c r="S12" s="95" t="n">
        <v>0.65</v>
      </c>
      <c r="T12" s="95" t="n">
        <v>0.65</v>
      </c>
      <c r="U12" s="22" t="n">
        <v>0.65</v>
      </c>
      <c r="V12" s="19" t="n">
        <v>24</v>
      </c>
      <c r="W12" s="19" t="n">
        <v>8</v>
      </c>
      <c r="X12" s="23" t="n">
        <v>93.77815699658699</v>
      </c>
      <c r="Y12" s="15" t="n">
        <v>1184.32038225256</v>
      </c>
      <c r="Z12" s="15" t="n">
        <v>1000000</v>
      </c>
      <c r="AA12" s="15" t="n">
        <v>500000</v>
      </c>
      <c r="AB12" s="15" t="n">
        <v>500000</v>
      </c>
      <c r="AC12" s="96" t="n">
        <v>-26.74027</v>
      </c>
      <c r="AD12" s="99" t="n">
        <v>27.975</v>
      </c>
      <c r="AE12" s="19" t="n"/>
    </row>
    <row r="13">
      <c r="A13" s="71">
        <f>A12</f>
        <v/>
      </c>
      <c r="B13" s="48" t="inlineStr">
        <is>
          <t>Majuba</t>
        </is>
      </c>
      <c r="C13" s="28" t="inlineStr">
        <is>
          <t>eskom</t>
        </is>
      </c>
      <c r="D13" s="29" t="inlineStr">
        <is>
          <t>coal</t>
        </is>
      </c>
      <c r="E13" s="19" t="b">
        <v>1</v>
      </c>
      <c r="F13" s="19" t="n">
        <v>663</v>
      </c>
      <c r="G13" s="19" t="n">
        <v>1</v>
      </c>
      <c r="H13" s="49" t="n">
        <v>3807</v>
      </c>
      <c r="I13" s="19" t="inlineStr">
        <is>
          <t>pre</t>
        </is>
      </c>
      <c r="J13" s="35" t="n">
        <v>2051</v>
      </c>
      <c r="K13" s="98" t="n">
        <v>13.02083333333333</v>
      </c>
      <c r="L13" s="94">
        <f>K13</f>
        <v/>
      </c>
      <c r="M13" s="52" t="n">
        <v>0</v>
      </c>
      <c r="N13" s="19" t="n">
        <v>96</v>
      </c>
      <c r="O13" s="19" t="n">
        <v>1250</v>
      </c>
      <c r="P13" s="10" t="inlineStr">
        <is>
          <t>med_group</t>
        </is>
      </c>
      <c r="Q13" s="95" t="n">
        <v>0.167</v>
      </c>
      <c r="R13" s="95" t="n">
        <v>0.166939443535188</v>
      </c>
      <c r="S13" s="95" t="n">
        <v>0.65</v>
      </c>
      <c r="T13" s="95" t="n">
        <v>0.65</v>
      </c>
      <c r="U13" s="22" t="n">
        <v>0.65</v>
      </c>
      <c r="V13" s="19" t="n">
        <v>24</v>
      </c>
      <c r="W13" s="19" t="n">
        <v>8</v>
      </c>
      <c r="X13" s="23" t="n">
        <v>93.77815699658699</v>
      </c>
      <c r="Y13" s="15" t="n">
        <v>1184.32038225256</v>
      </c>
      <c r="Z13" s="15" t="n">
        <v>1000000</v>
      </c>
      <c r="AA13" s="15" t="n">
        <v>500000</v>
      </c>
      <c r="AB13" s="15" t="n">
        <v>500000</v>
      </c>
      <c r="AC13" s="96" t="n">
        <v>-27.09555</v>
      </c>
      <c r="AD13" s="99" t="n">
        <v>29.77055</v>
      </c>
      <c r="AE13" s="19" t="n"/>
    </row>
    <row r="14">
      <c r="A14" s="71">
        <f>A13</f>
        <v/>
      </c>
      <c r="B14" s="53" t="inlineStr">
        <is>
          <t>Matimba</t>
        </is>
      </c>
      <c r="C14" s="28" t="inlineStr">
        <is>
          <t>eskom</t>
        </is>
      </c>
      <c r="D14" s="29" t="inlineStr">
        <is>
          <t>coal</t>
        </is>
      </c>
      <c r="E14" s="19" t="b">
        <v>1</v>
      </c>
      <c r="F14" s="19" t="n">
        <v>615</v>
      </c>
      <c r="G14" s="19" t="n">
        <v>1</v>
      </c>
      <c r="H14" s="19" t="n">
        <v>3690</v>
      </c>
      <c r="I14" s="19" t="inlineStr">
        <is>
          <t>pre</t>
        </is>
      </c>
      <c r="J14" s="35" t="n">
        <v>2043</v>
      </c>
      <c r="K14" s="98" t="n">
        <v>10.3125</v>
      </c>
      <c r="L14" s="94">
        <f>K14</f>
        <v/>
      </c>
      <c r="M14" s="52" t="n">
        <v>0</v>
      </c>
      <c r="N14" s="19" t="n">
        <v>96</v>
      </c>
      <c r="O14" s="19" t="n">
        <v>990</v>
      </c>
      <c r="P14" s="26" t="inlineStr">
        <is>
          <t>low_group</t>
        </is>
      </c>
      <c r="Q14" s="95" t="n">
        <v>0.286</v>
      </c>
      <c r="R14" s="95" t="n">
        <v>0.286</v>
      </c>
      <c r="S14" s="95" t="n">
        <v>0.65</v>
      </c>
      <c r="T14" s="95" t="n">
        <v>0.65</v>
      </c>
      <c r="U14" s="22" t="n">
        <v>0.65</v>
      </c>
      <c r="V14" s="19" t="n">
        <v>24</v>
      </c>
      <c r="W14" s="19" t="n">
        <v>8</v>
      </c>
      <c r="X14" s="23" t="n">
        <v>93.77815699658699</v>
      </c>
      <c r="Y14" s="15" t="n">
        <v>1187.514122866896</v>
      </c>
      <c r="Z14" s="15" t="n">
        <v>1000000</v>
      </c>
      <c r="AA14" s="15" t="n">
        <v>500000</v>
      </c>
      <c r="AB14" s="15" t="n">
        <v>500000</v>
      </c>
      <c r="AC14" s="96" t="n">
        <v>-23.66777</v>
      </c>
      <c r="AD14" s="99" t="n">
        <v>27.61277</v>
      </c>
      <c r="AE14" s="19" t="n"/>
    </row>
    <row r="15">
      <c r="A15" s="71">
        <f>A14</f>
        <v/>
      </c>
      <c r="B15" s="20" t="inlineStr">
        <is>
          <t>Matla</t>
        </is>
      </c>
      <c r="C15" s="28" t="inlineStr">
        <is>
          <t>eskom</t>
        </is>
      </c>
      <c r="D15" s="29" t="inlineStr">
        <is>
          <t>coal</t>
        </is>
      </c>
      <c r="E15" s="19" t="b">
        <v>1</v>
      </c>
      <c r="F15" s="19" t="n">
        <v>575</v>
      </c>
      <c r="G15" s="19" t="n">
        <v>1</v>
      </c>
      <c r="H15" s="19" t="n">
        <v>3450</v>
      </c>
      <c r="I15" s="19" t="inlineStr">
        <is>
          <t>pre</t>
        </is>
      </c>
      <c r="J15" s="35" t="n">
        <v>2035</v>
      </c>
      <c r="K15" s="100" t="n">
        <v>12.39583333333333</v>
      </c>
      <c r="L15" s="94">
        <f>K15</f>
        <v/>
      </c>
      <c r="M15" s="52" t="n">
        <v>0</v>
      </c>
      <c r="N15" s="19" t="n">
        <v>96</v>
      </c>
      <c r="O15" s="19" t="n">
        <v>1190</v>
      </c>
      <c r="P15" s="21" t="inlineStr">
        <is>
          <t>high_group</t>
        </is>
      </c>
      <c r="Q15" s="95" t="n">
        <v>0.250434782608696</v>
      </c>
      <c r="R15" s="95" t="n">
        <v>0.250434782608696</v>
      </c>
      <c r="S15" s="95" t="n">
        <v>0.65</v>
      </c>
      <c r="T15" s="95" t="n">
        <v>0.65</v>
      </c>
      <c r="U15" s="22" t="n">
        <v>0.65</v>
      </c>
      <c r="V15" s="19" t="n">
        <v>24</v>
      </c>
      <c r="W15" s="19" t="n">
        <v>8</v>
      </c>
      <c r="X15" s="23" t="n">
        <v>93.77815699658699</v>
      </c>
      <c r="Y15" s="15" t="n">
        <v>1184.32038225256</v>
      </c>
      <c r="Z15" s="15" t="n">
        <v>1000000</v>
      </c>
      <c r="AA15" s="15" t="n">
        <v>500000</v>
      </c>
      <c r="AB15" s="15" t="n">
        <v>500000</v>
      </c>
      <c r="AC15" s="96" t="n">
        <v>-26.28036</v>
      </c>
      <c r="AD15" s="99" t="n">
        <v>29.14229</v>
      </c>
      <c r="AE15" s="19" t="n"/>
    </row>
    <row r="16">
      <c r="A16" s="71">
        <f>A15</f>
        <v/>
      </c>
      <c r="B16" s="25" t="inlineStr">
        <is>
          <t>Medupi</t>
        </is>
      </c>
      <c r="C16" s="28" t="inlineStr">
        <is>
          <t>eskom</t>
        </is>
      </c>
      <c r="D16" s="29" t="inlineStr">
        <is>
          <t>coal</t>
        </is>
      </c>
      <c r="E16" s="19" t="b">
        <v>1</v>
      </c>
      <c r="F16" s="19" t="n">
        <v>720</v>
      </c>
      <c r="G16" s="19" t="n">
        <v>1</v>
      </c>
      <c r="H16" s="19" t="n">
        <v>4320</v>
      </c>
      <c r="I16" s="19" t="inlineStr">
        <is>
          <t>pre</t>
        </is>
      </c>
      <c r="J16" s="35" t="n">
        <v>2060</v>
      </c>
      <c r="K16" s="100" t="n">
        <v>9.583333333333334</v>
      </c>
      <c r="L16" s="94">
        <f>K16</f>
        <v/>
      </c>
      <c r="M16" s="52" t="n">
        <v>0</v>
      </c>
      <c r="N16" s="19" t="n">
        <v>96</v>
      </c>
      <c r="O16" s="19" t="n">
        <v>920</v>
      </c>
      <c r="P16" s="26" t="inlineStr">
        <is>
          <t>low_group</t>
        </is>
      </c>
      <c r="Q16" s="95" t="n">
        <v>0.5975103734439829</v>
      </c>
      <c r="R16" s="95" t="n">
        <v>0.5975103734439829</v>
      </c>
      <c r="S16" s="95" t="n">
        <v>0.65</v>
      </c>
      <c r="T16" s="95" t="n">
        <v>0.65</v>
      </c>
      <c r="U16" s="22" t="n">
        <v>0.65</v>
      </c>
      <c r="V16" s="19" t="n">
        <v>24</v>
      </c>
      <c r="W16" s="19" t="n">
        <v>8</v>
      </c>
      <c r="X16" s="23" t="n">
        <v>129.4402730375424</v>
      </c>
      <c r="Y16" s="15" t="n">
        <v>1275.059334470991</v>
      </c>
      <c r="Z16" s="15" t="n">
        <v>1000000</v>
      </c>
      <c r="AA16" s="15" t="n">
        <v>500000</v>
      </c>
      <c r="AB16" s="15" t="n">
        <v>500000</v>
      </c>
      <c r="AC16" s="96" t="n">
        <v>-23.42</v>
      </c>
      <c r="AD16" s="99" t="n">
        <v>27.33</v>
      </c>
      <c r="AE16" s="19" t="n"/>
    </row>
    <row r="17">
      <c r="A17" s="71">
        <f>A16</f>
        <v/>
      </c>
      <c r="B17" s="27" t="inlineStr">
        <is>
          <t>Tutuka</t>
        </is>
      </c>
      <c r="C17" s="28" t="inlineStr">
        <is>
          <t>eskom</t>
        </is>
      </c>
      <c r="D17" s="29" t="inlineStr">
        <is>
          <t>coal</t>
        </is>
      </c>
      <c r="E17" s="19" t="b">
        <v>1</v>
      </c>
      <c r="F17" s="19" t="n">
        <v>585</v>
      </c>
      <c r="G17" s="19" t="n">
        <v>1</v>
      </c>
      <c r="H17" s="19" t="n">
        <v>3510</v>
      </c>
      <c r="I17" s="19" t="inlineStr">
        <is>
          <t>pre</t>
        </is>
      </c>
      <c r="J17" s="35" t="n">
        <v>2041</v>
      </c>
      <c r="K17" s="100" t="n">
        <v>12.8125</v>
      </c>
      <c r="L17" s="94">
        <f>K17</f>
        <v/>
      </c>
      <c r="M17" s="52" t="n">
        <v>0</v>
      </c>
      <c r="N17" s="19" t="n">
        <v>96</v>
      </c>
      <c r="O17" s="19" t="n">
        <v>1230</v>
      </c>
      <c r="P17" s="21" t="inlineStr">
        <is>
          <t>high_group</t>
        </is>
      </c>
      <c r="Q17" s="95" t="n">
        <v>0.333</v>
      </c>
      <c r="R17" s="95" t="n">
        <v>0.333</v>
      </c>
      <c r="S17" s="95" t="n">
        <v>0.65</v>
      </c>
      <c r="T17" s="95" t="n">
        <v>0.65</v>
      </c>
      <c r="U17" s="22" t="n">
        <v>0.65</v>
      </c>
      <c r="V17" s="19" t="n">
        <v>24</v>
      </c>
      <c r="W17" s="19" t="n">
        <v>8</v>
      </c>
      <c r="X17" s="23" t="n">
        <v>93.77815699658699</v>
      </c>
      <c r="Y17" s="15" t="n">
        <v>1184.32038225256</v>
      </c>
      <c r="Z17" s="15" t="n">
        <v>1000000</v>
      </c>
      <c r="AA17" s="15" t="n">
        <v>500000</v>
      </c>
      <c r="AB17" s="15" t="n">
        <v>500000</v>
      </c>
      <c r="AC17" s="96" t="n">
        <v>-26.77565</v>
      </c>
      <c r="AD17" s="99" t="n">
        <v>29.35212</v>
      </c>
      <c r="AE17" s="19" t="n"/>
    </row>
    <row r="18">
      <c r="A18" s="71">
        <f>A17</f>
        <v/>
      </c>
      <c r="B18" s="28" t="inlineStr">
        <is>
          <t>Koeberg</t>
        </is>
      </c>
      <c r="C18" s="28" t="inlineStr">
        <is>
          <t>eskom</t>
        </is>
      </c>
      <c r="D18" s="29" t="inlineStr">
        <is>
          <t>nuclear</t>
        </is>
      </c>
      <c r="E18" s="19" t="b">
        <v>0</v>
      </c>
      <c r="F18" s="19" t="n">
        <v>927</v>
      </c>
      <c r="G18" s="19" t="n">
        <v>2</v>
      </c>
      <c r="H18" s="19" t="n">
        <v>1854</v>
      </c>
      <c r="I18" s="19" t="inlineStr">
        <is>
          <t>pre</t>
        </is>
      </c>
      <c r="J18" s="19" t="n">
        <v>2047</v>
      </c>
      <c r="K18" s="98" t="n">
        <v>11.111</v>
      </c>
      <c r="L18" s="94">
        <f>K18</f>
        <v/>
      </c>
      <c r="M18" s="2" t="n">
        <v>0</v>
      </c>
      <c r="N18" s="19" t="n">
        <v>0</v>
      </c>
      <c r="O18" s="19" t="n">
        <v>0</v>
      </c>
      <c r="P18" s="19" t="n">
        <v>18</v>
      </c>
      <c r="Q18" s="95" t="n">
        <v>0.1</v>
      </c>
      <c r="R18" s="95" t="n">
        <v>0.1</v>
      </c>
      <c r="S18" s="95" t="n">
        <v>0.65</v>
      </c>
      <c r="T18" s="95" t="n">
        <v>0.65</v>
      </c>
      <c r="U18" s="22" t="n">
        <v>0.5</v>
      </c>
      <c r="V18" s="19" t="n">
        <v>240</v>
      </c>
      <c r="W18" s="19" t="n">
        <v>240</v>
      </c>
      <c r="X18" s="23" t="n">
        <v>59.43686006825943</v>
      </c>
      <c r="Y18" s="15" t="n">
        <v>1567.812286689421</v>
      </c>
      <c r="Z18" s="15" t="n">
        <v>1000000</v>
      </c>
      <c r="AA18" s="15" t="n">
        <v>1000000</v>
      </c>
      <c r="AB18" s="15" t="n">
        <v>1000000</v>
      </c>
      <c r="AC18" s="96" t="n">
        <v>-33.67359354</v>
      </c>
      <c r="AD18" s="99" t="n">
        <v>18.428247</v>
      </c>
      <c r="AE18" s="19" t="n"/>
    </row>
    <row r="19">
      <c r="A19" s="71">
        <f>A18</f>
        <v/>
      </c>
      <c r="B19" s="33" t="inlineStr">
        <is>
          <t>Ankerlig</t>
        </is>
      </c>
      <c r="C19" s="33" t="inlineStr">
        <is>
          <t>eskom</t>
        </is>
      </c>
      <c r="D19" s="34" t="inlineStr">
        <is>
          <t>ocgt_diesel</t>
        </is>
      </c>
      <c r="E19" s="35" t="b">
        <v>0</v>
      </c>
      <c r="F19" s="35" t="n">
        <v>148</v>
      </c>
      <c r="G19" s="35" t="n">
        <v>9</v>
      </c>
      <c r="H19" s="36" t="n">
        <v>1327</v>
      </c>
      <c r="I19" s="35" t="inlineStr">
        <is>
          <t>pre</t>
        </is>
      </c>
      <c r="J19" s="35" t="n">
        <v>2039</v>
      </c>
      <c r="K19" s="100" t="n">
        <v>11.519</v>
      </c>
      <c r="L19" s="94">
        <f>K19</f>
        <v/>
      </c>
      <c r="M19" s="2" t="n">
        <v>0</v>
      </c>
      <c r="N19" s="21" t="inlineStr">
        <is>
          <t>variable_diesel</t>
        </is>
      </c>
      <c r="O19" s="21" t="inlineStr">
        <is>
          <t>variable_diesel</t>
        </is>
      </c>
      <c r="P19" s="21" t="inlineStr">
        <is>
          <t>variable_diesel</t>
        </is>
      </c>
      <c r="Q19" s="101" t="n">
        <v>1</v>
      </c>
      <c r="R19" s="101" t="n">
        <v>1</v>
      </c>
      <c r="S19" s="101" t="n">
        <v>1</v>
      </c>
      <c r="T19" s="101" t="n">
        <v>1</v>
      </c>
      <c r="U19" s="39" t="n">
        <v>0</v>
      </c>
      <c r="V19" s="35" t="n">
        <v>0</v>
      </c>
      <c r="W19" s="35" t="n">
        <v>0</v>
      </c>
      <c r="X19" s="40" t="n">
        <v>3.962457337883962</v>
      </c>
      <c r="Y19" s="41" t="n">
        <v>258.8805460750858</v>
      </c>
      <c r="Z19" s="41" t="n">
        <v>0</v>
      </c>
      <c r="AA19" s="41" t="n">
        <v>0</v>
      </c>
      <c r="AB19" s="41" t="n">
        <v>0</v>
      </c>
      <c r="AC19" s="102" t="n">
        <v>-33.592</v>
      </c>
      <c r="AD19" s="103" t="n">
        <v>18.4607</v>
      </c>
      <c r="AE19" s="35" t="n"/>
    </row>
    <row r="20">
      <c r="A20" s="71">
        <f>A19</f>
        <v/>
      </c>
      <c r="B20" s="28" t="inlineStr">
        <is>
          <t>Gourikwa</t>
        </is>
      </c>
      <c r="C20" s="28" t="inlineStr">
        <is>
          <t>eskom</t>
        </is>
      </c>
      <c r="D20" s="29" t="inlineStr">
        <is>
          <t>ocgt_diesel</t>
        </is>
      </c>
      <c r="E20" s="19" t="b">
        <v>0</v>
      </c>
      <c r="F20" s="19" t="n">
        <v>148</v>
      </c>
      <c r="G20" s="19" t="n">
        <v>5</v>
      </c>
      <c r="H20" s="19" t="n">
        <v>740</v>
      </c>
      <c r="I20" s="19" t="inlineStr">
        <is>
          <t>pre</t>
        </is>
      </c>
      <c r="J20" s="19" t="n">
        <v>2038</v>
      </c>
      <c r="K20" s="98" t="n">
        <v>11.519</v>
      </c>
      <c r="L20" s="94">
        <f>K20</f>
        <v/>
      </c>
      <c r="M20" s="2" t="n">
        <v>0</v>
      </c>
      <c r="N20" s="21" t="inlineStr">
        <is>
          <t>variable_diesel</t>
        </is>
      </c>
      <c r="O20" s="21" t="inlineStr">
        <is>
          <t>variable_diesel</t>
        </is>
      </c>
      <c r="P20" s="21" t="inlineStr">
        <is>
          <t>variable_diesel</t>
        </is>
      </c>
      <c r="Q20" s="95" t="n">
        <v>1</v>
      </c>
      <c r="R20" s="95" t="n">
        <v>1</v>
      </c>
      <c r="S20" s="95" t="n">
        <v>1</v>
      </c>
      <c r="T20" s="95" t="n">
        <v>1</v>
      </c>
      <c r="U20" s="22" t="n">
        <v>0</v>
      </c>
      <c r="V20" s="19" t="n">
        <v>0</v>
      </c>
      <c r="W20" s="19" t="n">
        <v>0</v>
      </c>
      <c r="X20" s="23" t="n">
        <v>3.962457337883962</v>
      </c>
      <c r="Y20" s="15" t="n">
        <v>258.8805460750858</v>
      </c>
      <c r="Z20" s="15" t="n">
        <v>0</v>
      </c>
      <c r="AA20" s="15" t="n">
        <v>0</v>
      </c>
      <c r="AB20" s="15" t="n">
        <v>0</v>
      </c>
      <c r="AC20" s="96" t="n">
        <v>-34.16526</v>
      </c>
      <c r="AD20" s="99" t="n">
        <v>21.96077</v>
      </c>
      <c r="AE20" s="19" t="n"/>
    </row>
    <row r="21">
      <c r="A21" s="71">
        <f>A20</f>
        <v/>
      </c>
      <c r="B21" s="33" t="inlineStr">
        <is>
          <t>Acacia</t>
        </is>
      </c>
      <c r="C21" s="33" t="inlineStr">
        <is>
          <t>eskom</t>
        </is>
      </c>
      <c r="D21" s="34" t="inlineStr">
        <is>
          <t>ocgt_diesel</t>
        </is>
      </c>
      <c r="E21" s="35" t="b">
        <v>0</v>
      </c>
      <c r="F21" s="35" t="n">
        <v>57</v>
      </c>
      <c r="G21" s="35" t="n">
        <v>3</v>
      </c>
      <c r="H21" s="35" t="n">
        <v>171</v>
      </c>
      <c r="I21" s="35" t="inlineStr">
        <is>
          <t>pre</t>
        </is>
      </c>
      <c r="J21" s="35" t="n">
        <v>2026</v>
      </c>
      <c r="K21" s="100" t="n">
        <v>11.519</v>
      </c>
      <c r="L21" s="94">
        <f>K21</f>
        <v/>
      </c>
      <c r="M21" s="2" t="n">
        <v>0</v>
      </c>
      <c r="N21" s="21" t="inlineStr">
        <is>
          <t>variable_diesel</t>
        </is>
      </c>
      <c r="O21" s="21" t="inlineStr">
        <is>
          <t>variable_diesel</t>
        </is>
      </c>
      <c r="P21" s="21" t="inlineStr">
        <is>
          <t>variable_diesel</t>
        </is>
      </c>
      <c r="Q21" s="101" t="n">
        <v>1</v>
      </c>
      <c r="R21" s="101" t="n">
        <v>1</v>
      </c>
      <c r="S21" s="101" t="n">
        <v>1</v>
      </c>
      <c r="T21" s="101" t="n">
        <v>1</v>
      </c>
      <c r="U21" s="39" t="n">
        <v>0</v>
      </c>
      <c r="V21" s="35" t="n">
        <v>0</v>
      </c>
      <c r="W21" s="35" t="n">
        <v>0</v>
      </c>
      <c r="X21" s="40" t="n">
        <v>3.962457337883962</v>
      </c>
      <c r="Y21" s="41" t="n">
        <v>258.8805460750858</v>
      </c>
      <c r="Z21" s="41" t="n">
        <v>0</v>
      </c>
      <c r="AA21" s="41" t="n">
        <v>0</v>
      </c>
      <c r="AB21" s="41" t="n">
        <v>0</v>
      </c>
      <c r="AC21" s="102" t="n">
        <v>-33.88408</v>
      </c>
      <c r="AD21" s="103" t="n">
        <v>18.53361</v>
      </c>
      <c r="AE21" s="35" t="n"/>
    </row>
    <row r="22">
      <c r="A22" s="71">
        <f>A21</f>
        <v/>
      </c>
      <c r="B22" s="28" t="inlineStr">
        <is>
          <t>PortRex</t>
        </is>
      </c>
      <c r="C22" s="28" t="inlineStr">
        <is>
          <t>eskom</t>
        </is>
      </c>
      <c r="D22" s="29" t="inlineStr">
        <is>
          <t>ocgt_diesel</t>
        </is>
      </c>
      <c r="E22" s="19" t="b">
        <v>0</v>
      </c>
      <c r="F22" s="19" t="n">
        <v>57</v>
      </c>
      <c r="G22" s="19" t="n">
        <v>3</v>
      </c>
      <c r="H22" s="19" t="n">
        <v>171</v>
      </c>
      <c r="I22" s="19" t="inlineStr">
        <is>
          <t>pre</t>
        </is>
      </c>
      <c r="J22" s="19" t="n">
        <v>2026</v>
      </c>
      <c r="K22" s="98" t="n">
        <v>11.519</v>
      </c>
      <c r="L22" s="94">
        <f>K22</f>
        <v/>
      </c>
      <c r="M22" s="2" t="n">
        <v>0</v>
      </c>
      <c r="N22" s="21" t="inlineStr">
        <is>
          <t>variable_diesel</t>
        </is>
      </c>
      <c r="O22" s="21" t="inlineStr">
        <is>
          <t>variable_diesel</t>
        </is>
      </c>
      <c r="P22" s="21" t="inlineStr">
        <is>
          <t>variable_diesel</t>
        </is>
      </c>
      <c r="Q22" s="95" t="n">
        <v>1</v>
      </c>
      <c r="R22" s="95" t="n">
        <v>1</v>
      </c>
      <c r="S22" s="95" t="n">
        <v>1</v>
      </c>
      <c r="T22" s="95" t="n">
        <v>1</v>
      </c>
      <c r="U22" s="22" t="n">
        <v>0</v>
      </c>
      <c r="V22" s="19" t="n">
        <v>0</v>
      </c>
      <c r="W22" s="19" t="n">
        <v>0</v>
      </c>
      <c r="X22" s="23" t="n">
        <v>3.962457337883962</v>
      </c>
      <c r="Y22" s="15" t="n">
        <v>258.8805460750858</v>
      </c>
      <c r="Z22" s="15" t="n">
        <v>0</v>
      </c>
      <c r="AA22" s="15" t="n">
        <v>0</v>
      </c>
      <c r="AB22" s="15" t="n">
        <v>0</v>
      </c>
      <c r="AC22" s="96" t="n">
        <v>-33.02739</v>
      </c>
      <c r="AD22" s="99" t="n">
        <v>27.88382</v>
      </c>
      <c r="AE22" s="19" t="n"/>
    </row>
    <row r="23">
      <c r="A23" s="71">
        <f>A22</f>
        <v/>
      </c>
      <c r="B23" s="33" t="inlineStr">
        <is>
          <t>Gariep</t>
        </is>
      </c>
      <c r="C23" s="33" t="inlineStr">
        <is>
          <t>eskom</t>
        </is>
      </c>
      <c r="D23" s="34" t="inlineStr">
        <is>
          <t>hydro</t>
        </is>
      </c>
      <c r="E23" s="35" t="b">
        <v>0</v>
      </c>
      <c r="F23" s="35" t="n">
        <v>90</v>
      </c>
      <c r="G23" s="35" t="n">
        <v>4</v>
      </c>
      <c r="H23" s="35" t="n">
        <v>360</v>
      </c>
      <c r="I23" s="35" t="inlineStr">
        <is>
          <t>pre</t>
        </is>
      </c>
      <c r="J23" s="35" t="inlineStr">
        <is>
          <t>post</t>
        </is>
      </c>
      <c r="K23" s="100" t="n">
        <v>0</v>
      </c>
      <c r="L23" s="94">
        <f>K23</f>
        <v/>
      </c>
      <c r="M23" s="2" t="n">
        <v>0</v>
      </c>
      <c r="N23" s="35" t="n">
        <v>0</v>
      </c>
      <c r="O23" s="35" t="n">
        <v>0</v>
      </c>
      <c r="P23" s="35" t="n">
        <v>0</v>
      </c>
      <c r="Q23" s="101" t="n">
        <v>1</v>
      </c>
      <c r="R23" s="101" t="n">
        <v>1</v>
      </c>
      <c r="S23" s="101" t="n">
        <v>1</v>
      </c>
      <c r="T23" s="101" t="n">
        <v>1</v>
      </c>
      <c r="U23" s="39" t="n">
        <v>0</v>
      </c>
      <c r="V23" s="35" t="n">
        <v>0</v>
      </c>
      <c r="W23" s="35" t="n">
        <v>0</v>
      </c>
      <c r="X23" s="40" t="n">
        <v>462.2866894197953</v>
      </c>
      <c r="Y23" s="41" t="n">
        <v>0</v>
      </c>
      <c r="Z23" s="41" t="n">
        <v>0</v>
      </c>
      <c r="AA23" s="41" t="n">
        <v>0</v>
      </c>
      <c r="AB23" s="41" t="n">
        <v>0</v>
      </c>
      <c r="AC23" s="102" t="n">
        <v>-30.62396</v>
      </c>
      <c r="AD23" s="103" t="n">
        <v>25.50403</v>
      </c>
      <c r="AE23" s="35" t="n"/>
    </row>
    <row r="24">
      <c r="A24" s="71">
        <f>A23</f>
        <v/>
      </c>
      <c r="B24" s="28" t="inlineStr">
        <is>
          <t>Vanderkloof</t>
        </is>
      </c>
      <c r="C24" s="28" t="inlineStr">
        <is>
          <t>eskom</t>
        </is>
      </c>
      <c r="D24" s="29" t="inlineStr">
        <is>
          <t>hydro</t>
        </is>
      </c>
      <c r="E24" s="19" t="b">
        <v>0</v>
      </c>
      <c r="F24" s="19" t="n">
        <v>120</v>
      </c>
      <c r="G24" s="19" t="n">
        <v>2</v>
      </c>
      <c r="H24" s="19" t="n">
        <v>240</v>
      </c>
      <c r="I24" s="19" t="inlineStr">
        <is>
          <t>pre</t>
        </is>
      </c>
      <c r="J24" s="19" t="inlineStr">
        <is>
          <t>post</t>
        </is>
      </c>
      <c r="K24" s="98" t="n">
        <v>0</v>
      </c>
      <c r="L24" s="94">
        <f>K24</f>
        <v/>
      </c>
      <c r="M24" s="2" t="n">
        <v>0</v>
      </c>
      <c r="N24" s="19" t="n">
        <v>0</v>
      </c>
      <c r="O24" s="19" t="n">
        <v>0</v>
      </c>
      <c r="P24" s="19" t="n">
        <v>0</v>
      </c>
      <c r="Q24" s="95" t="n">
        <v>1</v>
      </c>
      <c r="R24" s="95" t="n">
        <v>1</v>
      </c>
      <c r="S24" s="95" t="n">
        <v>1</v>
      </c>
      <c r="T24" s="95" t="n">
        <v>1</v>
      </c>
      <c r="U24" s="22" t="n">
        <v>0</v>
      </c>
      <c r="V24" s="19" t="n">
        <v>0</v>
      </c>
      <c r="W24" s="19" t="n">
        <v>0</v>
      </c>
      <c r="X24" s="23" t="n">
        <v>462.2866894197953</v>
      </c>
      <c r="Y24" s="15" t="n">
        <v>0</v>
      </c>
      <c r="Z24" s="15" t="n">
        <v>0</v>
      </c>
      <c r="AA24" s="15" t="n">
        <v>0</v>
      </c>
      <c r="AB24" s="15" t="n">
        <v>0</v>
      </c>
      <c r="AC24" s="96" t="n">
        <v>-29.99337</v>
      </c>
      <c r="AD24" s="99" t="n">
        <v>24.73384</v>
      </c>
      <c r="AE24" s="19" t="n"/>
    </row>
    <row r="25">
      <c r="A25" s="71">
        <f>A24</f>
        <v/>
      </c>
      <c r="B25" s="28" t="inlineStr">
        <is>
          <t>MuliloTotalHydra</t>
        </is>
      </c>
      <c r="C25" s="28" t="inlineStr">
        <is>
          <t>RMIPPP</t>
        </is>
      </c>
      <c r="D25" s="29" t="inlineStr">
        <is>
          <t>rmippp</t>
        </is>
      </c>
      <c r="E25" s="19" t="b">
        <v>0</v>
      </c>
      <c r="F25" s="19" t="n">
        <v>75</v>
      </c>
      <c r="G25" s="19" t="n">
        <v>1</v>
      </c>
      <c r="H25" s="19" t="n">
        <v>75</v>
      </c>
      <c r="I25" s="19" t="n">
        <v>2025</v>
      </c>
      <c r="J25" s="19" t="n">
        <v>2045</v>
      </c>
      <c r="K25" s="98" t="n">
        <v>0</v>
      </c>
      <c r="L25" s="94">
        <f>K25</f>
        <v/>
      </c>
      <c r="M25" s="2" t="n">
        <v>0</v>
      </c>
      <c r="N25" s="19" t="n">
        <v>0</v>
      </c>
      <c r="O25" s="19" t="n">
        <v>0</v>
      </c>
      <c r="P25" s="19" t="n">
        <v>0</v>
      </c>
      <c r="Q25" s="95" t="n">
        <v>1</v>
      </c>
      <c r="R25" s="95" t="n">
        <v>1</v>
      </c>
      <c r="S25" s="95" t="n">
        <v>1</v>
      </c>
      <c r="T25" s="95" t="n">
        <v>1</v>
      </c>
      <c r="U25" s="22" t="n">
        <v>0</v>
      </c>
      <c r="V25" s="19" t="n">
        <v>0</v>
      </c>
      <c r="W25" s="19" t="n">
        <v>0</v>
      </c>
      <c r="X25" s="23" t="n">
        <v>1831.468439125911</v>
      </c>
      <c r="Y25" s="15" t="n">
        <v>0</v>
      </c>
      <c r="Z25" s="15" t="n">
        <v>0</v>
      </c>
      <c r="AA25" s="15" t="n">
        <v>0</v>
      </c>
      <c r="AB25" s="15" t="n">
        <v>0</v>
      </c>
      <c r="AC25" s="96" t="n">
        <v>-30.6757</v>
      </c>
      <c r="AD25" s="99" t="n">
        <v>24.0676</v>
      </c>
      <c r="AE25" s="19" t="n"/>
    </row>
    <row r="26">
      <c r="A26" s="71">
        <f>A25</f>
        <v/>
      </c>
      <c r="B26" s="33" t="inlineStr">
        <is>
          <t>Oya</t>
        </is>
      </c>
      <c r="C26" s="33" t="inlineStr">
        <is>
          <t>RMIPPP</t>
        </is>
      </c>
      <c r="D26" s="34" t="inlineStr">
        <is>
          <t>rmippp</t>
        </is>
      </c>
      <c r="E26" s="35" t="b">
        <v>0</v>
      </c>
      <c r="F26" s="35" t="n">
        <v>128</v>
      </c>
      <c r="G26" s="35" t="n">
        <v>1</v>
      </c>
      <c r="H26" s="35" t="n">
        <v>128</v>
      </c>
      <c r="I26" s="35" t="n">
        <v>2025</v>
      </c>
      <c r="J26" s="35" t="n">
        <v>2045</v>
      </c>
      <c r="K26" s="100" t="n">
        <v>0</v>
      </c>
      <c r="L26" s="94">
        <f>K26</f>
        <v/>
      </c>
      <c r="M26" s="2" t="n">
        <v>0</v>
      </c>
      <c r="N26" s="35" t="n">
        <v>0</v>
      </c>
      <c r="O26" s="35" t="n">
        <v>0</v>
      </c>
      <c r="P26" s="35" t="n">
        <v>0</v>
      </c>
      <c r="Q26" s="101" t="n">
        <v>1</v>
      </c>
      <c r="R26" s="101" t="n">
        <v>1</v>
      </c>
      <c r="S26" s="101" t="n">
        <v>1</v>
      </c>
      <c r="T26" s="101" t="n">
        <v>1</v>
      </c>
      <c r="U26" s="39" t="n">
        <v>0</v>
      </c>
      <c r="V26" s="35" t="n">
        <v>0</v>
      </c>
      <c r="W26" s="35" t="n">
        <v>0</v>
      </c>
      <c r="X26" s="40" t="n">
        <v>1872.991404786681</v>
      </c>
      <c r="Y26" s="41" t="n">
        <v>0</v>
      </c>
      <c r="Z26" s="41" t="n">
        <v>0</v>
      </c>
      <c r="AA26" s="41" t="n">
        <v>0</v>
      </c>
      <c r="AB26" s="41" t="n">
        <v>0</v>
      </c>
      <c r="AC26" s="102" t="n">
        <v>-32.8489</v>
      </c>
      <c r="AD26" s="103" t="n">
        <v>20.3236</v>
      </c>
      <c r="AE26" s="35" t="n"/>
    </row>
    <row r="27">
      <c r="A27" s="71">
        <f>A26</f>
        <v/>
      </c>
      <c r="B27" s="28" t="inlineStr">
        <is>
          <t>Scatec1</t>
        </is>
      </c>
      <c r="C27" s="28" t="inlineStr">
        <is>
          <t>RMIPPP</t>
        </is>
      </c>
      <c r="D27" s="29" t="inlineStr">
        <is>
          <t>rmippp</t>
        </is>
      </c>
      <c r="E27" s="19" t="b">
        <v>0</v>
      </c>
      <c r="F27" s="19" t="n">
        <v>50</v>
      </c>
      <c r="G27" s="19" t="n">
        <v>1</v>
      </c>
      <c r="H27" s="19" t="n">
        <v>50</v>
      </c>
      <c r="I27" s="19" t="n">
        <v>2024</v>
      </c>
      <c r="J27" s="19" t="n">
        <v>2045</v>
      </c>
      <c r="K27" s="98" t="n">
        <v>0</v>
      </c>
      <c r="L27" s="94">
        <f>K27</f>
        <v/>
      </c>
      <c r="M27" s="2" t="n">
        <v>0</v>
      </c>
      <c r="N27" s="19" t="n">
        <v>0</v>
      </c>
      <c r="O27" s="19" t="n">
        <v>0</v>
      </c>
      <c r="P27" s="19" t="n">
        <v>0</v>
      </c>
      <c r="Q27" s="95" t="n">
        <v>1</v>
      </c>
      <c r="R27" s="95" t="n">
        <v>1</v>
      </c>
      <c r="S27" s="95" t="n">
        <v>1</v>
      </c>
      <c r="T27" s="95" t="n">
        <v>1</v>
      </c>
      <c r="U27" s="22" t="n">
        <v>0</v>
      </c>
      <c r="V27" s="19" t="n">
        <v>0</v>
      </c>
      <c r="W27" s="19" t="n">
        <v>0</v>
      </c>
      <c r="X27" s="23" t="n">
        <v>2255.739216494846</v>
      </c>
      <c r="Y27" s="15" t="n">
        <v>0</v>
      </c>
      <c r="Z27" s="15" t="n">
        <v>0</v>
      </c>
      <c r="AA27" s="15" t="n">
        <v>0</v>
      </c>
      <c r="AB27" s="15" t="n">
        <v>0</v>
      </c>
      <c r="AC27" s="96" t="n">
        <v>-29.4112838805742</v>
      </c>
      <c r="AD27" s="99" t="n">
        <v>21.0847327324929</v>
      </c>
      <c r="AE27" s="19" t="n"/>
    </row>
    <row r="28">
      <c r="A28" s="71">
        <f>A27</f>
        <v/>
      </c>
      <c r="B28" s="33" t="inlineStr">
        <is>
          <t>Scatec2</t>
        </is>
      </c>
      <c r="C28" s="33" t="inlineStr">
        <is>
          <t>RMIPPP</t>
        </is>
      </c>
      <c r="D28" s="34" t="inlineStr">
        <is>
          <t>rmippp</t>
        </is>
      </c>
      <c r="E28" s="35" t="b">
        <v>0</v>
      </c>
      <c r="F28" s="35" t="n">
        <v>50</v>
      </c>
      <c r="G28" s="35" t="n">
        <v>1</v>
      </c>
      <c r="H28" s="35" t="n">
        <v>50</v>
      </c>
      <c r="I28" s="35" t="n">
        <v>2024</v>
      </c>
      <c r="J28" s="35" t="n">
        <v>2045</v>
      </c>
      <c r="K28" s="100" t="n">
        <v>0</v>
      </c>
      <c r="L28" s="94">
        <f>K28</f>
        <v/>
      </c>
      <c r="M28" s="2" t="n">
        <v>0</v>
      </c>
      <c r="N28" s="35" t="n">
        <v>0</v>
      </c>
      <c r="O28" s="35" t="n">
        <v>0</v>
      </c>
      <c r="P28" s="35" t="n">
        <v>0</v>
      </c>
      <c r="Q28" s="101" t="n">
        <v>1</v>
      </c>
      <c r="R28" s="101" t="n">
        <v>1</v>
      </c>
      <c r="S28" s="101" t="n">
        <v>1</v>
      </c>
      <c r="T28" s="101" t="n">
        <v>1</v>
      </c>
      <c r="U28" s="39" t="n">
        <v>0</v>
      </c>
      <c r="V28" s="35" t="n">
        <v>0</v>
      </c>
      <c r="W28" s="35" t="n">
        <v>0</v>
      </c>
      <c r="X28" s="40" t="n">
        <v>2255.70330927835</v>
      </c>
      <c r="Y28" s="41" t="n">
        <v>0</v>
      </c>
      <c r="Z28" s="41" t="n">
        <v>0</v>
      </c>
      <c r="AA28" s="41" t="n">
        <v>0</v>
      </c>
      <c r="AB28" s="41" t="n">
        <v>0</v>
      </c>
      <c r="AC28" s="102" t="n">
        <v>-29.4112838805742</v>
      </c>
      <c r="AD28" s="103" t="n">
        <v>21.0847327324929</v>
      </c>
      <c r="AE28" s="35" t="n"/>
    </row>
    <row r="29">
      <c r="A29" s="71">
        <f>A28</f>
        <v/>
      </c>
      <c r="B29" s="28" t="inlineStr">
        <is>
          <t>Scatec3</t>
        </is>
      </c>
      <c r="C29" s="28" t="inlineStr">
        <is>
          <t>RMIPPP</t>
        </is>
      </c>
      <c r="D29" s="29" t="inlineStr">
        <is>
          <t>rmippp</t>
        </is>
      </c>
      <c r="E29" s="19" t="b">
        <v>0</v>
      </c>
      <c r="F29" s="19" t="n">
        <v>50</v>
      </c>
      <c r="G29" s="19" t="n">
        <v>1</v>
      </c>
      <c r="H29" s="19" t="n">
        <v>50</v>
      </c>
      <c r="I29" s="19" t="n">
        <v>2024</v>
      </c>
      <c r="J29" s="19" t="n">
        <v>2045</v>
      </c>
      <c r="K29" s="98" t="n">
        <v>0</v>
      </c>
      <c r="L29" s="94">
        <f>K29</f>
        <v/>
      </c>
      <c r="M29" s="2" t="n">
        <v>0</v>
      </c>
      <c r="N29" s="19" t="n">
        <v>0</v>
      </c>
      <c r="O29" s="19" t="n">
        <v>0</v>
      </c>
      <c r="P29" s="19" t="n">
        <v>0</v>
      </c>
      <c r="Q29" s="95" t="n">
        <v>1</v>
      </c>
      <c r="R29" s="95" t="n">
        <v>1</v>
      </c>
      <c r="S29" s="95" t="n">
        <v>1</v>
      </c>
      <c r="T29" s="95" t="n">
        <v>1</v>
      </c>
      <c r="U29" s="22" t="n">
        <v>0</v>
      </c>
      <c r="V29" s="19" t="n">
        <v>0</v>
      </c>
      <c r="W29" s="19" t="n">
        <v>0</v>
      </c>
      <c r="X29" s="23" t="n">
        <v>2255.643463917525</v>
      </c>
      <c r="Y29" s="15" t="n">
        <v>0</v>
      </c>
      <c r="Z29" s="15" t="n">
        <v>0</v>
      </c>
      <c r="AA29" s="15" t="n">
        <v>0</v>
      </c>
      <c r="AB29" s="15" t="n">
        <v>0</v>
      </c>
      <c r="AC29" s="96" t="n">
        <v>-29.4112838805742</v>
      </c>
      <c r="AD29" s="99" t="n">
        <v>21.0847327324929</v>
      </c>
      <c r="AE29" s="19" t="n"/>
    </row>
    <row r="30">
      <c r="A30" s="71">
        <f>A29</f>
        <v/>
      </c>
      <c r="B30" s="33" t="inlineStr">
        <is>
          <t>Umoyilanga</t>
        </is>
      </c>
      <c r="C30" s="33" t="inlineStr">
        <is>
          <t>RMIPPP</t>
        </is>
      </c>
      <c r="D30" s="34" t="inlineStr">
        <is>
          <t>rmippp</t>
        </is>
      </c>
      <c r="E30" s="35" t="b">
        <v>0</v>
      </c>
      <c r="F30" s="35" t="n">
        <v>75</v>
      </c>
      <c r="G30" s="35" t="n">
        <v>1</v>
      </c>
      <c r="H30" s="35" t="n">
        <v>75</v>
      </c>
      <c r="I30" s="35" t="n">
        <v>2025</v>
      </c>
      <c r="J30" s="35" t="n">
        <v>2045</v>
      </c>
      <c r="K30" s="100" t="n">
        <v>0</v>
      </c>
      <c r="L30" s="94">
        <f>K30</f>
        <v/>
      </c>
      <c r="M30" s="2" t="n">
        <v>0</v>
      </c>
      <c r="N30" s="35" t="n">
        <v>0</v>
      </c>
      <c r="O30" s="35" t="n">
        <v>0</v>
      </c>
      <c r="P30" s="35" t="n">
        <v>0</v>
      </c>
      <c r="Q30" s="101" t="n">
        <v>1</v>
      </c>
      <c r="R30" s="101" t="n">
        <v>1</v>
      </c>
      <c r="S30" s="101" t="n">
        <v>1</v>
      </c>
      <c r="T30" s="101" t="n">
        <v>1</v>
      </c>
      <c r="U30" s="39" t="n">
        <v>0</v>
      </c>
      <c r="V30" s="35" t="n">
        <v>0</v>
      </c>
      <c r="W30" s="35" t="n">
        <v>0</v>
      </c>
      <c r="X30" s="40" t="n">
        <v>2079.941768990635</v>
      </c>
      <c r="Y30" s="41" t="n">
        <v>0</v>
      </c>
      <c r="Z30" s="41" t="n">
        <v>0</v>
      </c>
      <c r="AA30" s="41" t="n">
        <v>0</v>
      </c>
      <c r="AB30" s="41" t="n">
        <v>0</v>
      </c>
      <c r="AC30" s="102" t="n">
        <v>-28.4519839474036</v>
      </c>
      <c r="AD30" s="103" t="n">
        <v>21.2331531845134</v>
      </c>
      <c r="AE30" s="35" t="n"/>
    </row>
    <row r="31">
      <c r="A31" s="71">
        <f>A30</f>
        <v/>
      </c>
      <c r="B31" s="28" t="inlineStr">
        <is>
          <t>Avon</t>
        </is>
      </c>
      <c r="C31" s="28" t="inlineStr">
        <is>
          <t>IPP</t>
        </is>
      </c>
      <c r="D31" s="29" t="inlineStr">
        <is>
          <t>ocgt_diesel</t>
        </is>
      </c>
      <c r="E31" s="19" t="b">
        <v>0</v>
      </c>
      <c r="F31" s="19" t="n">
        <v>167.5</v>
      </c>
      <c r="G31" s="19" t="n">
        <v>4</v>
      </c>
      <c r="H31" s="19" t="n">
        <v>670</v>
      </c>
      <c r="I31" s="19" t="inlineStr">
        <is>
          <t>pre</t>
        </is>
      </c>
      <c r="J31" s="19" t="n">
        <v>2046</v>
      </c>
      <c r="K31" s="98" t="n">
        <v>11.519</v>
      </c>
      <c r="L31" s="94">
        <f>K31</f>
        <v/>
      </c>
      <c r="M31" s="2" t="n">
        <v>0</v>
      </c>
      <c r="N31" s="21" t="inlineStr">
        <is>
          <t>variable_diesel</t>
        </is>
      </c>
      <c r="O31" s="21" t="inlineStr">
        <is>
          <t>variable_diesel</t>
        </is>
      </c>
      <c r="P31" s="21" t="inlineStr">
        <is>
          <t>variable_diesel</t>
        </is>
      </c>
      <c r="Q31" s="95" t="n">
        <v>1</v>
      </c>
      <c r="R31" s="95" t="n">
        <v>1</v>
      </c>
      <c r="S31" s="95" t="n">
        <v>1</v>
      </c>
      <c r="T31" s="95" t="n">
        <v>1</v>
      </c>
      <c r="U31" s="22" t="n">
        <v>0</v>
      </c>
      <c r="V31" s="19" t="n">
        <v>0</v>
      </c>
      <c r="W31" s="19" t="n">
        <v>0</v>
      </c>
      <c r="X31" s="23" t="n">
        <v>3.962457337883962</v>
      </c>
      <c r="Y31" s="15" t="n">
        <v>223.2184300341301</v>
      </c>
      <c r="Z31" s="15" t="n">
        <v>0</v>
      </c>
      <c r="AA31" s="15" t="n">
        <v>0</v>
      </c>
      <c r="AB31" s="15" t="n">
        <v>0</v>
      </c>
      <c r="AC31" s="96" t="n">
        <v>-29.251</v>
      </c>
      <c r="AD31" s="99" t="n">
        <v>31.0941</v>
      </c>
      <c r="AE31" s="19" t="n"/>
    </row>
    <row r="32">
      <c r="A32" s="71">
        <f>A31</f>
        <v/>
      </c>
      <c r="B32" s="33" t="inlineStr">
        <is>
          <t>Dedisa</t>
        </is>
      </c>
      <c r="C32" s="33" t="inlineStr">
        <is>
          <t>IPP</t>
        </is>
      </c>
      <c r="D32" s="34" t="inlineStr">
        <is>
          <t>ocgt_diesel</t>
        </is>
      </c>
      <c r="E32" s="35" t="b">
        <v>0</v>
      </c>
      <c r="F32" s="35" t="n">
        <v>167.5</v>
      </c>
      <c r="G32" s="35" t="n">
        <v>2</v>
      </c>
      <c r="H32" s="35" t="n">
        <v>335</v>
      </c>
      <c r="I32" s="35" t="inlineStr">
        <is>
          <t>pre</t>
        </is>
      </c>
      <c r="J32" s="35" t="n">
        <v>2046</v>
      </c>
      <c r="K32" s="100" t="n">
        <v>11.519</v>
      </c>
      <c r="L32" s="94">
        <f>K32</f>
        <v/>
      </c>
      <c r="M32" s="2" t="n">
        <v>0</v>
      </c>
      <c r="N32" s="21" t="inlineStr">
        <is>
          <t>variable_diesel</t>
        </is>
      </c>
      <c r="O32" s="21" t="inlineStr">
        <is>
          <t>variable_diesel</t>
        </is>
      </c>
      <c r="P32" s="21" t="inlineStr">
        <is>
          <t>variable_diesel</t>
        </is>
      </c>
      <c r="Q32" s="101" t="n">
        <v>1</v>
      </c>
      <c r="R32" s="101" t="n">
        <v>1</v>
      </c>
      <c r="S32" s="101" t="n">
        <v>1</v>
      </c>
      <c r="T32" s="101" t="n">
        <v>1</v>
      </c>
      <c r="U32" s="39" t="n">
        <v>0</v>
      </c>
      <c r="V32" s="35" t="n">
        <v>0</v>
      </c>
      <c r="W32" s="35" t="n">
        <v>0</v>
      </c>
      <c r="X32" s="40" t="n">
        <v>3.962457337883962</v>
      </c>
      <c r="Y32" s="41" t="n">
        <v>223.2184300341301</v>
      </c>
      <c r="Z32" s="41" t="n">
        <v>0</v>
      </c>
      <c r="AA32" s="41" t="n">
        <v>0</v>
      </c>
      <c r="AB32" s="41" t="n">
        <v>0</v>
      </c>
      <c r="AC32" s="102" t="n">
        <v>-33.4433</v>
      </c>
      <c r="AD32" s="103" t="n">
        <v>25.4022</v>
      </c>
      <c r="AE32" s="35" t="n"/>
    </row>
    <row r="33">
      <c r="A33" s="71">
        <f>A32</f>
        <v/>
      </c>
      <c r="B33" s="28" t="inlineStr">
        <is>
          <t>Secunda_coal</t>
        </is>
      </c>
      <c r="C33" s="28" t="inlineStr">
        <is>
          <t>Sasol</t>
        </is>
      </c>
      <c r="D33" s="29" t="inlineStr">
        <is>
          <t>sasol_coal</t>
        </is>
      </c>
      <c r="E33" s="19" t="b">
        <v>0</v>
      </c>
      <c r="F33" s="19" t="n">
        <v>42.86</v>
      </c>
      <c r="G33" s="19" t="n">
        <v>14</v>
      </c>
      <c r="H33" s="19" t="n">
        <v>600.04</v>
      </c>
      <c r="I33" s="19" t="inlineStr">
        <is>
          <t>pre</t>
        </is>
      </c>
      <c r="J33" s="19" t="n">
        <v>2035</v>
      </c>
      <c r="K33" s="98" t="n">
        <v>14.03125</v>
      </c>
      <c r="L33" s="94">
        <f>K33</f>
        <v/>
      </c>
      <c r="M33" s="2" t="n">
        <v>0</v>
      </c>
      <c r="N33" s="19" t="n">
        <v>96</v>
      </c>
      <c r="O33" s="19" t="n">
        <v>1347</v>
      </c>
      <c r="P33" s="19" t="n">
        <v>16</v>
      </c>
      <c r="Q33" s="95" t="n">
        <v>1</v>
      </c>
      <c r="R33" s="95" t="n">
        <v>1</v>
      </c>
      <c r="S33" s="95" t="n">
        <v>1</v>
      </c>
      <c r="T33" s="95" t="n">
        <v>1</v>
      </c>
      <c r="U33" s="22" t="n">
        <v>0.65</v>
      </c>
      <c r="V33" s="19" t="n">
        <v>0</v>
      </c>
      <c r="W33" s="19" t="n">
        <v>0</v>
      </c>
      <c r="X33" s="23" t="n">
        <v>93.77815699658699</v>
      </c>
      <c r="Y33" s="15" t="n">
        <v>1275.065938566554</v>
      </c>
      <c r="Z33" s="15" t="n">
        <v>10000</v>
      </c>
      <c r="AA33" s="15" t="n">
        <v>70000</v>
      </c>
      <c r="AB33" s="15" t="n">
        <v>70000</v>
      </c>
      <c r="AC33" s="96" t="n">
        <v>-26.5036</v>
      </c>
      <c r="AD33" s="99" t="n">
        <v>29.1803</v>
      </c>
      <c r="AE33" s="19" t="n"/>
    </row>
    <row r="34">
      <c r="A34" s="71">
        <f>A33</f>
        <v/>
      </c>
      <c r="B34" s="33" t="inlineStr">
        <is>
          <t>Sasolburg_coal</t>
        </is>
      </c>
      <c r="C34" s="33" t="inlineStr">
        <is>
          <t>Sasol</t>
        </is>
      </c>
      <c r="D34" s="34" t="inlineStr">
        <is>
          <t>sasol_coal</t>
        </is>
      </c>
      <c r="E34" s="35" t="b">
        <v>0</v>
      </c>
      <c r="F34" s="35" t="n"/>
      <c r="G34" s="35" t="n"/>
      <c r="H34" s="35" t="n">
        <v>128</v>
      </c>
      <c r="I34" s="35" t="inlineStr">
        <is>
          <t>pre</t>
        </is>
      </c>
      <c r="J34" s="35" t="n">
        <v>2035</v>
      </c>
      <c r="K34" s="100" t="n">
        <v>14.03125</v>
      </c>
      <c r="L34" s="94">
        <f>K34</f>
        <v/>
      </c>
      <c r="M34" s="2" t="n">
        <v>0</v>
      </c>
      <c r="N34" s="35" t="n">
        <v>96</v>
      </c>
      <c r="O34" s="35" t="n">
        <v>1347</v>
      </c>
      <c r="P34" s="35" t="n">
        <v>16</v>
      </c>
      <c r="Q34" s="101" t="n">
        <v>1</v>
      </c>
      <c r="R34" s="101" t="n">
        <v>1</v>
      </c>
      <c r="S34" s="101" t="n">
        <v>1</v>
      </c>
      <c r="T34" s="101" t="n">
        <v>1</v>
      </c>
      <c r="U34" s="39" t="n">
        <v>0.65</v>
      </c>
      <c r="V34" s="35" t="n">
        <v>0</v>
      </c>
      <c r="W34" s="35" t="n">
        <v>0</v>
      </c>
      <c r="X34" s="40" t="n">
        <v>93.77815699658699</v>
      </c>
      <c r="Y34" s="41" t="n">
        <v>1275.065938566554</v>
      </c>
      <c r="Z34" s="41" t="n">
        <v>10000</v>
      </c>
      <c r="AA34" s="41" t="n">
        <v>70000</v>
      </c>
      <c r="AB34" s="41" t="n">
        <v>70000</v>
      </c>
      <c r="AC34" s="102" t="n">
        <v>-26.5036</v>
      </c>
      <c r="AD34" s="103" t="n">
        <v>29.1803</v>
      </c>
      <c r="AE34" s="35" t="n"/>
    </row>
    <row r="35">
      <c r="A35" s="71">
        <f>A34</f>
        <v/>
      </c>
      <c r="B35" s="28" t="inlineStr">
        <is>
          <t>Sasol_ice</t>
        </is>
      </c>
      <c r="C35" s="28" t="inlineStr">
        <is>
          <t>Sasol</t>
        </is>
      </c>
      <c r="D35" s="29" t="inlineStr">
        <is>
          <t>sasol_gas</t>
        </is>
      </c>
      <c r="E35" s="19" t="b">
        <v>0</v>
      </c>
      <c r="F35" s="19" t="n">
        <v>9.699999999999999</v>
      </c>
      <c r="G35" s="19" t="n">
        <v>18</v>
      </c>
      <c r="H35" s="19" t="n">
        <v>174.6</v>
      </c>
      <c r="I35" s="19" t="inlineStr">
        <is>
          <t>pre</t>
        </is>
      </c>
      <c r="J35" s="19" t="n">
        <v>2039</v>
      </c>
      <c r="K35" s="98" t="n">
        <v>9.6</v>
      </c>
      <c r="L35" s="94">
        <f>K35</f>
        <v/>
      </c>
      <c r="M35" s="2" t="n">
        <v>0</v>
      </c>
      <c r="N35" s="19" t="n">
        <v>69</v>
      </c>
      <c r="O35" s="19" t="n">
        <v>662.4</v>
      </c>
      <c r="P35" s="19" t="n">
        <v>245</v>
      </c>
      <c r="Q35" s="95" t="n">
        <v>1</v>
      </c>
      <c r="R35" s="95" t="n">
        <v>1</v>
      </c>
      <c r="S35" s="95" t="n">
        <v>1</v>
      </c>
      <c r="T35" s="95" t="n">
        <v>1</v>
      </c>
      <c r="U35" s="22" t="n">
        <v>0</v>
      </c>
      <c r="V35" s="19" t="n">
        <v>0</v>
      </c>
      <c r="W35" s="19" t="n">
        <v>0</v>
      </c>
      <c r="X35" s="23" t="n">
        <v>93.77815699658699</v>
      </c>
      <c r="Y35" s="15" t="n">
        <v>0</v>
      </c>
      <c r="Z35" s="15" t="n">
        <v>0</v>
      </c>
      <c r="AA35" s="15" t="n">
        <v>0</v>
      </c>
      <c r="AB35" s="15" t="n">
        <v>0</v>
      </c>
      <c r="AC35" s="96" t="n">
        <v>-26.8102</v>
      </c>
      <c r="AD35" s="99" t="n">
        <v>27.8277</v>
      </c>
      <c r="AE35" s="19" t="n"/>
    </row>
    <row r="36">
      <c r="A36" s="72">
        <f>A35</f>
        <v/>
      </c>
      <c r="B36" s="56" t="inlineStr">
        <is>
          <t>Sasol_ocgt</t>
        </is>
      </c>
      <c r="C36" s="56" t="inlineStr">
        <is>
          <t>Sasol</t>
        </is>
      </c>
      <c r="D36" s="70" t="inlineStr">
        <is>
          <t>sasol_gas</t>
        </is>
      </c>
      <c r="E36" s="57" t="b">
        <v>0</v>
      </c>
      <c r="F36" s="57" t="n">
        <v>50</v>
      </c>
      <c r="G36" s="57" t="n">
        <v>5</v>
      </c>
      <c r="H36" s="57" t="n">
        <v>250</v>
      </c>
      <c r="I36" s="57" t="inlineStr">
        <is>
          <t>pre</t>
        </is>
      </c>
      <c r="J36" s="57" t="n">
        <v>2039</v>
      </c>
      <c r="K36" s="104" t="n">
        <v>9.6</v>
      </c>
      <c r="L36" s="105">
        <f>K36</f>
        <v/>
      </c>
      <c r="M36" s="104" t="n">
        <v>0</v>
      </c>
      <c r="N36" s="57" t="n">
        <v>69</v>
      </c>
      <c r="O36" s="60" t="n">
        <v>662.4</v>
      </c>
      <c r="P36" s="57" t="n">
        <v>245</v>
      </c>
      <c r="Q36" s="106" t="n">
        <v>1</v>
      </c>
      <c r="R36" s="106" t="n">
        <v>1</v>
      </c>
      <c r="S36" s="106" t="n">
        <v>1</v>
      </c>
      <c r="T36" s="106" t="n">
        <v>1</v>
      </c>
      <c r="U36" s="62" t="n">
        <v>0</v>
      </c>
      <c r="V36" s="57" t="n">
        <v>0</v>
      </c>
      <c r="W36" s="57" t="n">
        <v>0</v>
      </c>
      <c r="X36" s="63" t="n">
        <v>3.962457337883962</v>
      </c>
      <c r="Y36" s="64" t="n">
        <v>0</v>
      </c>
      <c r="Z36" s="64" t="n">
        <v>0</v>
      </c>
      <c r="AA36" s="64" t="n">
        <v>0</v>
      </c>
      <c r="AB36" s="64" t="n">
        <v>0</v>
      </c>
      <c r="AC36" s="107" t="n">
        <v>-26.8102</v>
      </c>
      <c r="AD36" s="108" t="n">
        <v>27.8277</v>
      </c>
      <c r="AE36" s="67" t="n"/>
    </row>
  </sheetData>
  <autoFilter ref="A1:AE1"/>
  <conditionalFormatting sqref="A2:A36">
    <cfRule type="containsText" priority="3" operator="containsText" dxfId="0" text="ignore">
      <formula>NOT(ISERROR(SEARCH("ignore",A2)))</formula>
    </cfRule>
  </conditionalFormatting>
  <pageMargins left="0.7" right="0.7" top="0.75" bottom="0.75" header="0.5118110236220469" footer="0.5118110236220469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0"/>
  <sheetViews>
    <sheetView topLeftCell="A129" workbookViewId="0">
      <selection activeCell="F61" sqref="F61"/>
    </sheetView>
  </sheetViews>
  <sheetFormatPr baseColWidth="10" defaultColWidth="8.7109375" defaultRowHeight="15"/>
  <cols>
    <col width="15.42578125" customWidth="1" min="1" max="1"/>
    <col width="61.140625" customWidth="1" style="1" min="2" max="2"/>
    <col width="22.140625" customWidth="1" style="1" min="3" max="3"/>
    <col width="11.85546875" customWidth="1" style="1" min="4" max="4"/>
    <col width="16.7109375" customWidth="1" style="1" min="5" max="5"/>
    <col width="15.7109375" customWidth="1" style="2" min="6" max="6"/>
    <col width="19" customWidth="1" style="2" min="7" max="7"/>
    <col width="18.42578125" customWidth="1" style="2" min="8" max="8"/>
    <col width="12.7109375" customWidth="1" style="2" min="9" max="9"/>
    <col width="9.42578125" customWidth="1" style="2" min="10" max="10"/>
    <col width="10" customWidth="1" style="2" min="11" max="11"/>
    <col width="12.28515625" customWidth="1" style="2" min="12" max="12"/>
    <col width="15" customWidth="1" style="2" min="13" max="13"/>
    <col width="17.7109375" customWidth="1" style="2" min="14" max="14"/>
    <col width="12.7109375" customWidth="1" style="2" min="15" max="15"/>
    <col width="12" customWidth="1" style="2" min="16" max="16"/>
  </cols>
  <sheetData>
    <row r="1" ht="30" customHeight="1">
      <c r="A1" s="4" t="inlineStr">
        <is>
          <t>scenario</t>
        </is>
      </c>
      <c r="B1" s="4" t="inlineStr">
        <is>
          <t>station_name</t>
        </is>
      </c>
      <c r="C1" s="4" t="inlineStr">
        <is>
          <t>model_key</t>
        </is>
      </c>
      <c r="D1" s="4" t="inlineStr">
        <is>
          <t>grouping</t>
        </is>
      </c>
      <c r="E1" s="4" t="inlineStr">
        <is>
          <t>carrier</t>
        </is>
      </c>
      <c r="F1" s="5" t="inlineStr">
        <is>
          <t>capacity (MW)</t>
        </is>
      </c>
      <c r="G1" s="5" t="inlineStr">
        <is>
          <t>variable_om_cost (R/MWh)</t>
        </is>
      </c>
      <c r="H1" s="5" t="inlineStr">
        <is>
          <t>fixed_om_cost (R/kW/yr)</t>
        </is>
      </c>
      <c r="I1" s="5" t="inlineStr">
        <is>
          <t>pv_mounting</t>
        </is>
      </c>
      <c r="J1" s="5" t="inlineStr">
        <is>
          <t>pv_dc_ac_ratio</t>
        </is>
      </c>
      <c r="K1" s="5" t="inlineStr">
        <is>
          <t>wind_hub_height</t>
        </is>
      </c>
      <c r="L1" s="5" t="inlineStr">
        <is>
          <t>csp_storage_hours</t>
        </is>
      </c>
      <c r="M1" s="5" t="inlineStr">
        <is>
          <t>commissioning_date</t>
        </is>
      </c>
      <c r="N1" s="5" t="inlineStr">
        <is>
          <t>decommissioning_date</t>
        </is>
      </c>
      <c r="O1" s="5" t="inlineStr">
        <is>
          <t>gps_lat</t>
        </is>
      </c>
      <c r="P1" s="5" t="inlineStr">
        <is>
          <t>gps_lon</t>
        </is>
      </c>
    </row>
    <row r="2">
      <c r="A2" s="73" t="inlineStr">
        <is>
          <t>BASE</t>
        </is>
      </c>
      <c r="B2" s="74" t="inlineStr">
        <is>
          <t>Aries Solar</t>
        </is>
      </c>
      <c r="C2" s="74" t="inlineStr">
        <is>
          <t>Aries</t>
        </is>
      </c>
      <c r="D2" s="74" t="inlineStr">
        <is>
          <t>BW1</t>
        </is>
      </c>
      <c r="E2" s="74" t="inlineStr">
        <is>
          <t>solar_pv</t>
        </is>
      </c>
      <c r="F2" s="19" t="n">
        <v>9.65</v>
      </c>
      <c r="G2" s="19" t="n">
        <v>3649</v>
      </c>
      <c r="H2" s="19" t="n">
        <v>0</v>
      </c>
      <c r="I2" s="19" t="inlineStr">
        <is>
          <t>Fixed Tilt</t>
        </is>
      </c>
      <c r="J2" s="19" t="n">
        <v>1.14</v>
      </c>
      <c r="K2" s="19" t="inlineStr">
        <is>
          <t>-</t>
        </is>
      </c>
      <c r="L2" s="19" t="inlineStr">
        <is>
          <t>-</t>
        </is>
      </c>
      <c r="M2" s="19" t="n">
        <v>2014</v>
      </c>
      <c r="N2" s="19" t="n">
        <v>2039</v>
      </c>
      <c r="O2" s="19" t="n">
        <v>-29.496506</v>
      </c>
      <c r="P2" s="19" t="n">
        <v>20.785119</v>
      </c>
    </row>
    <row r="3">
      <c r="A3" s="73" t="inlineStr">
        <is>
          <t>BASE</t>
        </is>
      </c>
      <c r="B3" s="75" t="inlineStr">
        <is>
          <t>De Aar Solar PV</t>
        </is>
      </c>
      <c r="C3" s="75" t="inlineStr">
        <is>
          <t>De_Aar</t>
        </is>
      </c>
      <c r="D3" s="75" t="inlineStr">
        <is>
          <t>BW1</t>
        </is>
      </c>
      <c r="E3" s="75" t="inlineStr">
        <is>
          <t>solar_pv</t>
        </is>
      </c>
      <c r="F3" s="35" t="n">
        <v>48.25</v>
      </c>
      <c r="G3" s="35" t="n">
        <v>3649</v>
      </c>
      <c r="H3" s="35" t="n">
        <v>0</v>
      </c>
      <c r="I3" s="35" t="inlineStr">
        <is>
          <t>Fixed Tilt</t>
        </is>
      </c>
      <c r="J3" s="35" t="n">
        <v>1.04</v>
      </c>
      <c r="K3" s="35" t="inlineStr">
        <is>
          <t>-</t>
        </is>
      </c>
      <c r="L3" s="35" t="inlineStr">
        <is>
          <t>-</t>
        </is>
      </c>
      <c r="M3" s="35" t="n">
        <v>2014</v>
      </c>
      <c r="N3" s="35" t="n">
        <v>2039</v>
      </c>
      <c r="O3" s="35" t="n">
        <v>-30.6234</v>
      </c>
      <c r="P3" s="35" t="n">
        <v>24.0283</v>
      </c>
    </row>
    <row r="4">
      <c r="A4" s="73" t="inlineStr">
        <is>
          <t>BASE</t>
        </is>
      </c>
      <c r="B4" s="74" t="inlineStr">
        <is>
          <t>Droogfontein Solar PV Project</t>
        </is>
      </c>
      <c r="C4" s="74" t="inlineStr">
        <is>
          <t>Droogfontein1</t>
        </is>
      </c>
      <c r="D4" s="74" t="inlineStr">
        <is>
          <t>BW1</t>
        </is>
      </c>
      <c r="E4" s="74" t="inlineStr">
        <is>
          <t>solar_pv</t>
        </is>
      </c>
      <c r="F4" s="19" t="n">
        <v>48.25</v>
      </c>
      <c r="G4" s="19" t="n">
        <v>3649</v>
      </c>
      <c r="H4" s="19" t="n">
        <v>0</v>
      </c>
      <c r="I4" s="19" t="inlineStr">
        <is>
          <t>Fixed Tilt</t>
        </is>
      </c>
      <c r="J4" s="19" t="n">
        <v>1.04</v>
      </c>
      <c r="K4" s="19" t="inlineStr">
        <is>
          <t>-</t>
        </is>
      </c>
      <c r="L4" s="19" t="inlineStr">
        <is>
          <t>-</t>
        </is>
      </c>
      <c r="M4" s="19" t="n">
        <v>2014</v>
      </c>
      <c r="N4" s="19" t="n">
        <v>2039</v>
      </c>
      <c r="O4" s="19" t="n">
        <v>-28.6133</v>
      </c>
      <c r="P4" s="19" t="n">
        <v>24.7468</v>
      </c>
    </row>
    <row r="5">
      <c r="A5" s="73" t="inlineStr">
        <is>
          <t>BASE</t>
        </is>
      </c>
      <c r="B5" s="75" t="inlineStr">
        <is>
          <t>Greefspan PV Power Plant1</t>
        </is>
      </c>
      <c r="C5" s="75" t="inlineStr">
        <is>
          <t>Greefspan1</t>
        </is>
      </c>
      <c r="D5" s="75" t="inlineStr">
        <is>
          <t>BW1</t>
        </is>
      </c>
      <c r="E5" s="75" t="inlineStr">
        <is>
          <t>solar_pv</t>
        </is>
      </c>
      <c r="F5" s="35" t="n">
        <v>10</v>
      </c>
      <c r="G5" s="35" t="n">
        <v>3649</v>
      </c>
      <c r="H5" s="35" t="n">
        <v>0</v>
      </c>
      <c r="I5" s="35" t="inlineStr">
        <is>
          <t>Single Axis</t>
        </is>
      </c>
      <c r="J5" s="35" t="n">
        <v>1.1</v>
      </c>
      <c r="K5" s="35" t="inlineStr">
        <is>
          <t>-</t>
        </is>
      </c>
      <c r="L5" s="35" t="inlineStr">
        <is>
          <t>-</t>
        </is>
      </c>
      <c r="M5" s="35" t="n">
        <v>2014</v>
      </c>
      <c r="N5" s="35" t="n">
        <v>2039</v>
      </c>
      <c r="O5" s="35" t="n">
        <v>-29.393781</v>
      </c>
      <c r="P5" s="35" t="n">
        <v>23.307708</v>
      </c>
    </row>
    <row r="6">
      <c r="A6" s="73" t="inlineStr">
        <is>
          <t>BASE</t>
        </is>
      </c>
      <c r="B6" s="74" t="inlineStr">
        <is>
          <t>Herbert PV Power Plant</t>
        </is>
      </c>
      <c r="C6" s="74" t="inlineStr">
        <is>
          <t>Herbert</t>
        </is>
      </c>
      <c r="D6" s="74" t="inlineStr">
        <is>
          <t>BW1</t>
        </is>
      </c>
      <c r="E6" s="74" t="inlineStr">
        <is>
          <t>solar_pv</t>
        </is>
      </c>
      <c r="F6" s="19" t="n">
        <v>19.9</v>
      </c>
      <c r="G6" s="19" t="n">
        <v>3649</v>
      </c>
      <c r="H6" s="19" t="n">
        <v>0</v>
      </c>
      <c r="I6" s="19" t="inlineStr">
        <is>
          <t>Fixed Tilt</t>
        </is>
      </c>
      <c r="J6" s="19" t="n">
        <v>1.11</v>
      </c>
      <c r="K6" s="19" t="inlineStr">
        <is>
          <t>-</t>
        </is>
      </c>
      <c r="L6" s="19" t="inlineStr">
        <is>
          <t>-</t>
        </is>
      </c>
      <c r="M6" s="19" t="n">
        <v>2014</v>
      </c>
      <c r="N6" s="19" t="n">
        <v>2039</v>
      </c>
      <c r="O6" s="19" t="n">
        <v>-29.0019</v>
      </c>
      <c r="P6" s="19" t="n">
        <v>23.8019</v>
      </c>
    </row>
    <row r="7">
      <c r="A7" s="73" t="inlineStr">
        <is>
          <t>BASE</t>
        </is>
      </c>
      <c r="B7" s="75" t="inlineStr">
        <is>
          <t>Kalkbult</t>
        </is>
      </c>
      <c r="C7" s="75" t="inlineStr">
        <is>
          <t>Kalkbult</t>
        </is>
      </c>
      <c r="D7" s="75" t="inlineStr">
        <is>
          <t>BW1</t>
        </is>
      </c>
      <c r="E7" s="75" t="inlineStr">
        <is>
          <t>solar_pv</t>
        </is>
      </c>
      <c r="F7" s="35" t="n">
        <v>72.5</v>
      </c>
      <c r="G7" s="35" t="n">
        <v>3649</v>
      </c>
      <c r="H7" s="35" t="n">
        <v>0</v>
      </c>
      <c r="I7" s="35" t="inlineStr">
        <is>
          <t>Fixed Tilt</t>
        </is>
      </c>
      <c r="J7" s="35" t="n">
        <v>1.03</v>
      </c>
      <c r="K7" s="35" t="inlineStr">
        <is>
          <t>-</t>
        </is>
      </c>
      <c r="L7" s="35" t="inlineStr">
        <is>
          <t>-</t>
        </is>
      </c>
      <c r="M7" s="35" t="n">
        <v>2014</v>
      </c>
      <c r="N7" s="35" t="n">
        <v>2039</v>
      </c>
      <c r="O7" s="35" t="n">
        <v>-30.1607</v>
      </c>
      <c r="P7" s="35" t="n">
        <v>24.1349</v>
      </c>
    </row>
    <row r="8">
      <c r="A8" s="73" t="inlineStr">
        <is>
          <t>BASE</t>
        </is>
      </c>
      <c r="B8" s="74" t="inlineStr">
        <is>
          <t>Kathu Solar Energy Facility</t>
        </is>
      </c>
      <c r="C8" s="74" t="inlineStr">
        <is>
          <t>Kathu</t>
        </is>
      </c>
      <c r="D8" s="74" t="inlineStr">
        <is>
          <t>BW1</t>
        </is>
      </c>
      <c r="E8" s="74" t="inlineStr">
        <is>
          <t>solar_pv</t>
        </is>
      </c>
      <c r="F8" s="19" t="n">
        <v>75</v>
      </c>
      <c r="G8" s="19" t="n">
        <v>3649</v>
      </c>
      <c r="H8" s="19" t="n">
        <v>0</v>
      </c>
      <c r="I8" s="19" t="inlineStr">
        <is>
          <t>Single Axis</t>
        </is>
      </c>
      <c r="J8" s="19" t="n">
        <v>1.08</v>
      </c>
      <c r="K8" s="19" t="inlineStr">
        <is>
          <t>-</t>
        </is>
      </c>
      <c r="L8" s="19" t="inlineStr">
        <is>
          <t>-</t>
        </is>
      </c>
      <c r="M8" s="19" t="n">
        <v>2014</v>
      </c>
      <c r="N8" s="19" t="n">
        <v>2039</v>
      </c>
      <c r="O8" s="19" t="n">
        <v>-27.612908</v>
      </c>
      <c r="P8" s="19" t="n">
        <v>23.025886</v>
      </c>
    </row>
    <row r="9">
      <c r="A9" s="73" t="inlineStr">
        <is>
          <t>BASE</t>
        </is>
      </c>
      <c r="B9" s="75" t="inlineStr">
        <is>
          <t>Konkoonsies Solar</t>
        </is>
      </c>
      <c r="C9" s="75" t="inlineStr">
        <is>
          <t>Konkoonsies</t>
        </is>
      </c>
      <c r="D9" s="75" t="inlineStr">
        <is>
          <t>BW1</t>
        </is>
      </c>
      <c r="E9" s="75" t="inlineStr">
        <is>
          <t>solar_pv</t>
        </is>
      </c>
      <c r="F9" s="35" t="n">
        <v>9.65</v>
      </c>
      <c r="G9" s="35" t="n">
        <v>3649</v>
      </c>
      <c r="H9" s="35" t="n">
        <v>0</v>
      </c>
      <c r="I9" s="35" t="inlineStr">
        <is>
          <t>Fixed Tilt</t>
        </is>
      </c>
      <c r="J9" s="35" t="n">
        <v>1.14</v>
      </c>
      <c r="K9" s="35" t="inlineStr">
        <is>
          <t>-</t>
        </is>
      </c>
      <c r="L9" s="35" t="inlineStr">
        <is>
          <t>-</t>
        </is>
      </c>
      <c r="M9" s="35" t="n">
        <v>2014</v>
      </c>
      <c r="N9" s="35" t="n">
        <v>2039</v>
      </c>
      <c r="O9" s="35" t="n">
        <v>-28.889147</v>
      </c>
      <c r="P9" s="35" t="n">
        <v>19.555275</v>
      </c>
    </row>
    <row r="10">
      <c r="A10" s="73" t="inlineStr">
        <is>
          <t>BASE</t>
        </is>
      </c>
      <c r="B10" s="74" t="inlineStr">
        <is>
          <t>Lesedi Power Company</t>
        </is>
      </c>
      <c r="C10" s="74" t="inlineStr">
        <is>
          <t>Lesedi</t>
        </is>
      </c>
      <c r="D10" s="74" t="inlineStr">
        <is>
          <t>BW1</t>
        </is>
      </c>
      <c r="E10" s="74" t="inlineStr">
        <is>
          <t>solar_pv</t>
        </is>
      </c>
      <c r="F10" s="19" t="n">
        <v>64</v>
      </c>
      <c r="G10" s="19" t="n">
        <v>3649</v>
      </c>
      <c r="H10" s="19" t="n">
        <v>0</v>
      </c>
      <c r="I10" s="19" t="inlineStr">
        <is>
          <t>Fixed Tilt</t>
        </is>
      </c>
      <c r="J10" s="19" t="n">
        <v>1.17</v>
      </c>
      <c r="K10" s="19" t="inlineStr">
        <is>
          <t>-</t>
        </is>
      </c>
      <c r="L10" s="19" t="inlineStr">
        <is>
          <t>-</t>
        </is>
      </c>
      <c r="M10" s="19" t="n">
        <v>2014</v>
      </c>
      <c r="N10" s="19" t="n">
        <v>2039</v>
      </c>
      <c r="O10" s="19" t="n">
        <v>-28.3154</v>
      </c>
      <c r="P10" s="19" t="n">
        <v>23.3501</v>
      </c>
    </row>
    <row r="11">
      <c r="A11" s="73" t="inlineStr">
        <is>
          <t>BASE</t>
        </is>
      </c>
      <c r="B11" s="75" t="inlineStr">
        <is>
          <t>Letsatsi Power Company</t>
        </is>
      </c>
      <c r="C11" s="75" t="inlineStr">
        <is>
          <t>Letsatsi</t>
        </is>
      </c>
      <c r="D11" s="75" t="inlineStr">
        <is>
          <t>BW1</t>
        </is>
      </c>
      <c r="E11" s="75" t="inlineStr">
        <is>
          <t>solar_pv</t>
        </is>
      </c>
      <c r="F11" s="35" t="n">
        <v>64</v>
      </c>
      <c r="G11" s="35" t="n">
        <v>3649</v>
      </c>
      <c r="H11" s="35" t="n">
        <v>0</v>
      </c>
      <c r="I11" s="35" t="inlineStr">
        <is>
          <t>Fixed Tilt</t>
        </is>
      </c>
      <c r="J11" s="35" t="n">
        <v>1.17</v>
      </c>
      <c r="K11" s="35" t="inlineStr">
        <is>
          <t>-</t>
        </is>
      </c>
      <c r="L11" s="35" t="inlineStr">
        <is>
          <t>-</t>
        </is>
      </c>
      <c r="M11" s="35" t="n">
        <v>2014</v>
      </c>
      <c r="N11" s="35" t="n">
        <v>2039</v>
      </c>
      <c r="O11" s="35" t="n">
        <v>-28.9134</v>
      </c>
      <c r="P11" s="35" t="n">
        <v>25.9199</v>
      </c>
    </row>
    <row r="12">
      <c r="A12" s="73" t="inlineStr">
        <is>
          <t>BASE</t>
        </is>
      </c>
      <c r="B12" s="74" t="inlineStr">
        <is>
          <t>Mulilo Renewable Energy Solar PV De Aar</t>
        </is>
      </c>
      <c r="C12" s="74" t="inlineStr">
        <is>
          <t>Mulilo_De_ Aar</t>
        </is>
      </c>
      <c r="D12" s="74" t="inlineStr">
        <is>
          <t>BW1</t>
        </is>
      </c>
      <c r="E12" s="74" t="inlineStr">
        <is>
          <t>solar_pv</t>
        </is>
      </c>
      <c r="F12" s="19" t="n">
        <v>9.65</v>
      </c>
      <c r="G12" s="19" t="n">
        <v>3649</v>
      </c>
      <c r="H12" s="19" t="n">
        <v>0</v>
      </c>
      <c r="I12" s="19" t="inlineStr">
        <is>
          <t>Fixed Tilt</t>
        </is>
      </c>
      <c r="J12" s="19" t="n">
        <v>1.04</v>
      </c>
      <c r="K12" s="19" t="inlineStr">
        <is>
          <t>-</t>
        </is>
      </c>
      <c r="L12" s="19" t="inlineStr">
        <is>
          <t>-</t>
        </is>
      </c>
      <c r="M12" s="19" t="n">
        <v>2014</v>
      </c>
      <c r="N12" s="19" t="n">
        <v>2039</v>
      </c>
      <c r="O12" s="19" t="n">
        <v>-30.6279</v>
      </c>
      <c r="P12" s="19" t="n">
        <v>24.005453</v>
      </c>
    </row>
    <row r="13">
      <c r="A13" s="73" t="inlineStr">
        <is>
          <t>BASE</t>
        </is>
      </c>
      <c r="B13" s="75" t="inlineStr">
        <is>
          <t>Mulilo Renewable Energy Solar PV Prieska</t>
        </is>
      </c>
      <c r="C13" s="75" t="inlineStr">
        <is>
          <t>Mulilo_Prieska</t>
        </is>
      </c>
      <c r="D13" s="75" t="inlineStr">
        <is>
          <t>BW1</t>
        </is>
      </c>
      <c r="E13" s="75" t="inlineStr">
        <is>
          <t>solar_pv</t>
        </is>
      </c>
      <c r="F13" s="35" t="n">
        <v>19.9</v>
      </c>
      <c r="G13" s="35" t="n">
        <v>3649</v>
      </c>
      <c r="H13" s="35" t="n">
        <v>0</v>
      </c>
      <c r="I13" s="35" t="inlineStr">
        <is>
          <t>Fixed Tilt</t>
        </is>
      </c>
      <c r="J13" s="35" t="n">
        <v>1.01</v>
      </c>
      <c r="K13" s="35" t="inlineStr">
        <is>
          <t>-</t>
        </is>
      </c>
      <c r="L13" s="35" t="inlineStr">
        <is>
          <t>-</t>
        </is>
      </c>
      <c r="M13" s="35" t="n">
        <v>2014</v>
      </c>
      <c r="N13" s="35" t="n">
        <v>2039</v>
      </c>
      <c r="O13" s="35" t="n">
        <v>-29.967661</v>
      </c>
      <c r="P13" s="35" t="n">
        <v>22.319683</v>
      </c>
    </row>
    <row r="14">
      <c r="A14" s="73" t="inlineStr">
        <is>
          <t>BASE</t>
        </is>
      </c>
      <c r="B14" s="74" t="inlineStr">
        <is>
          <t>RustMo1 Solar Farm</t>
        </is>
      </c>
      <c r="C14" s="74" t="inlineStr">
        <is>
          <t>RustMo1</t>
        </is>
      </c>
      <c r="D14" s="74" t="inlineStr">
        <is>
          <t>BW1</t>
        </is>
      </c>
      <c r="E14" s="74" t="inlineStr">
        <is>
          <t>solar_pv</t>
        </is>
      </c>
      <c r="F14" s="19" t="n">
        <v>6.76</v>
      </c>
      <c r="G14" s="19" t="n">
        <v>3649</v>
      </c>
      <c r="H14" s="19" t="n">
        <v>0</v>
      </c>
      <c r="I14" s="19" t="inlineStr">
        <is>
          <t>Fixed Tilt</t>
        </is>
      </c>
      <c r="J14" s="19" t="n">
        <v>1.04</v>
      </c>
      <c r="K14" s="19" t="inlineStr">
        <is>
          <t>-</t>
        </is>
      </c>
      <c r="L14" s="19" t="inlineStr">
        <is>
          <t>-</t>
        </is>
      </c>
      <c r="M14" s="19" t="n">
        <v>2013</v>
      </c>
      <c r="N14" s="19" t="n">
        <v>2038</v>
      </c>
      <c r="O14" s="19" t="n">
        <v>-25.737892</v>
      </c>
      <c r="P14" s="19" t="n">
        <v>27.418314</v>
      </c>
    </row>
    <row r="15">
      <c r="A15" s="73" t="inlineStr">
        <is>
          <t>BASE</t>
        </is>
      </c>
      <c r="B15" s="75" t="inlineStr">
        <is>
          <t>SlimSun Swartland Solar Park</t>
        </is>
      </c>
      <c r="C15" s="75" t="inlineStr">
        <is>
          <t>SlimSun</t>
        </is>
      </c>
      <c r="D15" s="75" t="inlineStr">
        <is>
          <t>BW1</t>
        </is>
      </c>
      <c r="E15" s="75" t="inlineStr">
        <is>
          <t>solar_pv</t>
        </is>
      </c>
      <c r="F15" s="35" t="n">
        <v>5</v>
      </c>
      <c r="G15" s="35" t="n">
        <v>3649</v>
      </c>
      <c r="H15" s="35" t="n">
        <v>0</v>
      </c>
      <c r="I15" s="35" t="inlineStr">
        <is>
          <t>Fixed Tilt</t>
        </is>
      </c>
      <c r="J15" s="35" t="n">
        <v>1.2</v>
      </c>
      <c r="K15" s="35" t="inlineStr">
        <is>
          <t>-</t>
        </is>
      </c>
      <c r="L15" s="35" t="inlineStr">
        <is>
          <t>-</t>
        </is>
      </c>
      <c r="M15" s="35" t="n">
        <v>2015</v>
      </c>
      <c r="N15" s="35" t="n">
        <v>2040</v>
      </c>
      <c r="O15" s="35" t="n">
        <v>-33.35</v>
      </c>
      <c r="P15" s="35" t="n">
        <v>18.529708</v>
      </c>
    </row>
    <row r="16">
      <c r="A16" s="73" t="inlineStr">
        <is>
          <t>BASE</t>
        </is>
      </c>
      <c r="B16" s="74" t="inlineStr">
        <is>
          <t>Solar Capital De Aar</t>
        </is>
      </c>
      <c r="C16" s="74" t="inlineStr">
        <is>
          <t>Solar_Capital</t>
        </is>
      </c>
      <c r="D16" s="74" t="inlineStr">
        <is>
          <t>BW1</t>
        </is>
      </c>
      <c r="E16" s="74" t="inlineStr">
        <is>
          <t>solar_pv</t>
        </is>
      </c>
      <c r="F16" s="19" t="n">
        <v>75</v>
      </c>
      <c r="G16" s="19" t="n">
        <v>3649</v>
      </c>
      <c r="H16" s="19" t="n">
        <v>0</v>
      </c>
      <c r="I16" s="19" t="inlineStr">
        <is>
          <t>Fixed Tilt</t>
        </is>
      </c>
      <c r="J16" s="19" t="n">
        <v>1.13</v>
      </c>
      <c r="K16" s="19" t="inlineStr">
        <is>
          <t>-</t>
        </is>
      </c>
      <c r="L16" s="19" t="inlineStr">
        <is>
          <t>-</t>
        </is>
      </c>
      <c r="M16" s="19" t="n">
        <v>2014</v>
      </c>
      <c r="N16" s="19" t="n">
        <v>2039</v>
      </c>
      <c r="O16" s="19" t="n">
        <v>-30.604753</v>
      </c>
      <c r="P16" s="19" t="n">
        <v>24.095239</v>
      </c>
    </row>
    <row r="17">
      <c r="A17" s="73" t="inlineStr">
        <is>
          <t>BASE</t>
        </is>
      </c>
      <c r="B17" s="75" t="inlineStr">
        <is>
          <t>Soutpan Solar Park</t>
        </is>
      </c>
      <c r="C17" s="75" t="inlineStr">
        <is>
          <t>Soutpan</t>
        </is>
      </c>
      <c r="D17" s="75" t="inlineStr">
        <is>
          <t>BW1</t>
        </is>
      </c>
      <c r="E17" s="75" t="inlineStr">
        <is>
          <t>solar_pv</t>
        </is>
      </c>
      <c r="F17" s="35" t="n">
        <v>28</v>
      </c>
      <c r="G17" s="35" t="n">
        <v>3649</v>
      </c>
      <c r="H17" s="35" t="n">
        <v>0</v>
      </c>
      <c r="I17" s="35" t="inlineStr">
        <is>
          <t>Fixed Tilt</t>
        </is>
      </c>
      <c r="J17" s="35" t="n">
        <v>1.11</v>
      </c>
      <c r="K17" s="35" t="inlineStr">
        <is>
          <t>-</t>
        </is>
      </c>
      <c r="L17" s="35" t="inlineStr">
        <is>
          <t>-</t>
        </is>
      </c>
      <c r="M17" s="35" t="n">
        <v>2014</v>
      </c>
      <c r="N17" s="35" t="n">
        <v>2039</v>
      </c>
      <c r="O17" s="35" t="n">
        <v>-22.991667</v>
      </c>
      <c r="P17" s="35" t="n">
        <v>29.251667</v>
      </c>
    </row>
    <row r="18">
      <c r="A18" s="73" t="inlineStr">
        <is>
          <t>BASE</t>
        </is>
      </c>
      <c r="B18" s="74" t="inlineStr">
        <is>
          <t>Touwsrivier Project</t>
        </is>
      </c>
      <c r="C18" s="74" t="inlineStr">
        <is>
          <t>Touwsrivier</t>
        </is>
      </c>
      <c r="D18" s="74" t="inlineStr">
        <is>
          <t>BW1</t>
        </is>
      </c>
      <c r="E18" s="74" t="inlineStr">
        <is>
          <t>solar_pv</t>
        </is>
      </c>
      <c r="F18" s="19" t="n">
        <v>36</v>
      </c>
      <c r="G18" s="19" t="n">
        <v>3649</v>
      </c>
      <c r="H18" s="19" t="n">
        <v>0</v>
      </c>
      <c r="I18" s="19" t="inlineStr">
        <is>
          <t>Single Axis</t>
        </is>
      </c>
      <c r="J18" s="19" t="n">
        <v>1</v>
      </c>
      <c r="K18" s="19" t="inlineStr">
        <is>
          <t>-</t>
        </is>
      </c>
      <c r="L18" s="19" t="inlineStr">
        <is>
          <t>-</t>
        </is>
      </c>
      <c r="M18" s="19" t="n">
        <v>2014</v>
      </c>
      <c r="N18" s="19" t="n">
        <v>2039</v>
      </c>
      <c r="O18" s="19" t="n">
        <v>-33.410389</v>
      </c>
      <c r="P18" s="19" t="n">
        <v>19.9276</v>
      </c>
    </row>
    <row r="19">
      <c r="A19" s="73" t="inlineStr">
        <is>
          <t>BASE</t>
        </is>
      </c>
      <c r="B19" s="75" t="inlineStr">
        <is>
          <t>Witkop Solar Park</t>
        </is>
      </c>
      <c r="C19" s="75" t="inlineStr">
        <is>
          <t>Witkop</t>
        </is>
      </c>
      <c r="D19" s="75" t="inlineStr">
        <is>
          <t>BW1</t>
        </is>
      </c>
      <c r="E19" s="75" t="inlineStr">
        <is>
          <t>solar_pv</t>
        </is>
      </c>
      <c r="F19" s="35" t="n">
        <v>30</v>
      </c>
      <c r="G19" s="35" t="n">
        <v>3649</v>
      </c>
      <c r="H19" s="35" t="n">
        <v>0</v>
      </c>
      <c r="I19" s="35" t="inlineStr">
        <is>
          <t>Single Axis</t>
        </is>
      </c>
      <c r="J19" s="35" t="n">
        <v>1.1</v>
      </c>
      <c r="K19" s="35" t="inlineStr">
        <is>
          <t>-</t>
        </is>
      </c>
      <c r="L19" s="35" t="inlineStr">
        <is>
          <t>-</t>
        </is>
      </c>
      <c r="M19" s="35" t="n">
        <v>2014</v>
      </c>
      <c r="N19" s="35" t="n">
        <v>2039</v>
      </c>
      <c r="O19" s="35" t="n">
        <v>-24.041667</v>
      </c>
      <c r="P19" s="35" t="n">
        <v>29.361667</v>
      </c>
    </row>
    <row r="20">
      <c r="A20" s="73" t="inlineStr">
        <is>
          <t>BASE</t>
        </is>
      </c>
      <c r="B20" s="74" t="inlineStr">
        <is>
          <t>Aurora</t>
        </is>
      </c>
      <c r="C20" s="74" t="inlineStr">
        <is>
          <t>Aurora</t>
        </is>
      </c>
      <c r="D20" s="74" t="inlineStr">
        <is>
          <t>BW2</t>
        </is>
      </c>
      <c r="E20" s="74" t="inlineStr">
        <is>
          <t>solar_pv</t>
        </is>
      </c>
      <c r="F20" s="19" t="n">
        <v>9</v>
      </c>
      <c r="G20" s="19" t="n">
        <v>2176</v>
      </c>
      <c r="H20" s="19" t="n">
        <v>0</v>
      </c>
      <c r="I20" s="19" t="inlineStr">
        <is>
          <t>Fixed Tilt</t>
        </is>
      </c>
      <c r="J20" s="19" t="n">
        <v>1.17</v>
      </c>
      <c r="K20" s="19" t="inlineStr">
        <is>
          <t>-</t>
        </is>
      </c>
      <c r="L20" s="19" t="inlineStr">
        <is>
          <t>-</t>
        </is>
      </c>
      <c r="M20" s="19" t="n">
        <v>2014</v>
      </c>
      <c r="N20" s="19" t="n">
        <v>2039</v>
      </c>
      <c r="O20" s="19" t="n">
        <v>-32.641344</v>
      </c>
      <c r="P20" s="19" t="n">
        <v>18.497289</v>
      </c>
    </row>
    <row r="21">
      <c r="A21" s="73" t="inlineStr">
        <is>
          <t>BASE</t>
        </is>
      </c>
      <c r="B21" s="75" t="inlineStr">
        <is>
          <t>Boshoff Solar Park</t>
        </is>
      </c>
      <c r="C21" s="75" t="inlineStr">
        <is>
          <t>Boshoff</t>
        </is>
      </c>
      <c r="D21" s="75" t="inlineStr">
        <is>
          <t>BW2</t>
        </is>
      </c>
      <c r="E21" s="75" t="inlineStr">
        <is>
          <t>solar_pv</t>
        </is>
      </c>
      <c r="F21" s="35" t="n">
        <v>60</v>
      </c>
      <c r="G21" s="35" t="n">
        <v>2176</v>
      </c>
      <c r="H21" s="35" t="n">
        <v>0</v>
      </c>
      <c r="I21" s="35" t="inlineStr">
        <is>
          <t>Single Axis</t>
        </is>
      </c>
      <c r="J21" s="35" t="n">
        <v>1.1</v>
      </c>
      <c r="K21" s="35" t="inlineStr">
        <is>
          <t>-</t>
        </is>
      </c>
      <c r="L21" s="35" t="inlineStr">
        <is>
          <t>-</t>
        </is>
      </c>
      <c r="M21" s="35" t="n">
        <v>2014</v>
      </c>
      <c r="N21" s="35" t="n">
        <v>2039</v>
      </c>
      <c r="O21" s="35" t="n">
        <v>-28.4628</v>
      </c>
      <c r="P21" s="35" t="n">
        <v>25.1891</v>
      </c>
    </row>
    <row r="22">
      <c r="A22" s="73" t="inlineStr">
        <is>
          <t>BASE</t>
        </is>
      </c>
      <c r="B22" s="74" t="inlineStr">
        <is>
          <t>Jasper Power Company</t>
        </is>
      </c>
      <c r="C22" s="74" t="inlineStr">
        <is>
          <t>Jasper</t>
        </is>
      </c>
      <c r="D22" s="74" t="inlineStr">
        <is>
          <t>BW2</t>
        </is>
      </c>
      <c r="E22" s="74" t="inlineStr">
        <is>
          <t>solar_pv</t>
        </is>
      </c>
      <c r="F22" s="19" t="n">
        <v>75</v>
      </c>
      <c r="G22" s="19" t="n">
        <v>2176</v>
      </c>
      <c r="H22" s="19" t="n">
        <v>0</v>
      </c>
      <c r="I22" s="19" t="inlineStr">
        <is>
          <t>Fixed Tilt</t>
        </is>
      </c>
      <c r="J22" s="19" t="n">
        <v>1.28</v>
      </c>
      <c r="K22" s="19" t="inlineStr">
        <is>
          <t>-</t>
        </is>
      </c>
      <c r="L22" s="19" t="inlineStr">
        <is>
          <t>-</t>
        </is>
      </c>
      <c r="M22" s="19" t="n">
        <v>2014</v>
      </c>
      <c r="N22" s="19" t="n">
        <v>2039</v>
      </c>
      <c r="O22" s="19" t="n">
        <v>-28.3133</v>
      </c>
      <c r="P22" s="19" t="n">
        <v>23.3751</v>
      </c>
    </row>
    <row r="23">
      <c r="A23" s="73" t="inlineStr">
        <is>
          <t>BASE</t>
        </is>
      </c>
      <c r="B23" s="75" t="inlineStr">
        <is>
          <t>Linde</t>
        </is>
      </c>
      <c r="C23" s="75" t="inlineStr">
        <is>
          <t>Linde</t>
        </is>
      </c>
      <c r="D23" s="75" t="inlineStr">
        <is>
          <t>BW2</t>
        </is>
      </c>
      <c r="E23" s="75" t="inlineStr">
        <is>
          <t>solar_pv</t>
        </is>
      </c>
      <c r="F23" s="35" t="n">
        <v>36.8</v>
      </c>
      <c r="G23" s="35" t="n">
        <v>2176</v>
      </c>
      <c r="H23" s="35" t="n">
        <v>0</v>
      </c>
      <c r="I23" s="35" t="inlineStr">
        <is>
          <t>Single Axis</t>
        </is>
      </c>
      <c r="J23" s="35" t="n">
        <v>1</v>
      </c>
      <c r="K23" s="35" t="inlineStr">
        <is>
          <t>-</t>
        </is>
      </c>
      <c r="L23" s="35" t="inlineStr">
        <is>
          <t>-</t>
        </is>
      </c>
      <c r="M23" s="35" t="n">
        <v>2013</v>
      </c>
      <c r="N23" s="35" t="n">
        <v>2038</v>
      </c>
      <c r="O23" s="35" t="n">
        <v>-30.9986</v>
      </c>
      <c r="P23" s="35" t="n">
        <v>24.6506</v>
      </c>
    </row>
    <row r="24">
      <c r="A24" s="73" t="inlineStr">
        <is>
          <t>BASE</t>
        </is>
      </c>
      <c r="B24" s="74" t="inlineStr">
        <is>
          <t>Project Dreunberg</t>
        </is>
      </c>
      <c r="C24" s="74" t="inlineStr">
        <is>
          <t>Dreunberg</t>
        </is>
      </c>
      <c r="D24" s="74" t="inlineStr">
        <is>
          <t>BW2</t>
        </is>
      </c>
      <c r="E24" s="74" t="inlineStr">
        <is>
          <t>solar_pv</t>
        </is>
      </c>
      <c r="F24" s="19" t="n">
        <v>69.90000000000001</v>
      </c>
      <c r="G24" s="19" t="n">
        <v>2176</v>
      </c>
      <c r="H24" s="19" t="n">
        <v>0</v>
      </c>
      <c r="I24" s="19" t="inlineStr">
        <is>
          <t>Fixed Tilt</t>
        </is>
      </c>
      <c r="J24" s="19" t="n">
        <v>1.07</v>
      </c>
      <c r="K24" s="19" t="inlineStr">
        <is>
          <t>-</t>
        </is>
      </c>
      <c r="L24" s="19" t="inlineStr">
        <is>
          <t>-</t>
        </is>
      </c>
      <c r="M24" s="19" t="n">
        <v>2014</v>
      </c>
      <c r="N24" s="19" t="n">
        <v>2039</v>
      </c>
      <c r="O24" s="19" t="n">
        <v>-30.8373</v>
      </c>
      <c r="P24" s="19" t="n">
        <v>26.2055</v>
      </c>
    </row>
    <row r="25">
      <c r="A25" s="73" t="inlineStr">
        <is>
          <t>BASE</t>
        </is>
      </c>
      <c r="B25" s="75" t="inlineStr">
        <is>
          <t>Sishen Solar Facility</t>
        </is>
      </c>
      <c r="C25" s="75" t="inlineStr">
        <is>
          <t>Sishen</t>
        </is>
      </c>
      <c r="D25" s="75" t="inlineStr">
        <is>
          <t>BW2</t>
        </is>
      </c>
      <c r="E25" s="75" t="inlineStr">
        <is>
          <t>solar_pv</t>
        </is>
      </c>
      <c r="F25" s="35" t="n">
        <v>74</v>
      </c>
      <c r="G25" s="35" t="n">
        <v>2176</v>
      </c>
      <c r="H25" s="35" t="n">
        <v>0</v>
      </c>
      <c r="I25" s="35" t="inlineStr">
        <is>
          <t>Single Axis</t>
        </is>
      </c>
      <c r="J25" s="35" t="n">
        <v>1.27</v>
      </c>
      <c r="K25" s="35" t="inlineStr">
        <is>
          <t>-</t>
        </is>
      </c>
      <c r="L25" s="35" t="inlineStr">
        <is>
          <t>-</t>
        </is>
      </c>
      <c r="M25" s="35" t="n">
        <v>2014</v>
      </c>
      <c r="N25" s="35" t="n">
        <v>2039</v>
      </c>
      <c r="O25" s="35" t="n">
        <v>-27.583611</v>
      </c>
      <c r="P25" s="35" t="n">
        <v>22.932778</v>
      </c>
    </row>
    <row r="26">
      <c r="A26" s="73" t="inlineStr">
        <is>
          <t>BASE</t>
        </is>
      </c>
      <c r="B26" s="74" t="inlineStr">
        <is>
          <t>Solar Capital De Aar 3</t>
        </is>
      </c>
      <c r="C26" s="74" t="inlineStr">
        <is>
          <t>Solar_Capital2</t>
        </is>
      </c>
      <c r="D26" s="74" t="inlineStr">
        <is>
          <t>BW2</t>
        </is>
      </c>
      <c r="E26" s="74" t="inlineStr">
        <is>
          <t>solar_pv</t>
        </is>
      </c>
      <c r="F26" s="19" t="n">
        <v>75</v>
      </c>
      <c r="G26" s="19" t="n">
        <v>2176</v>
      </c>
      <c r="H26" s="19" t="n">
        <v>0</v>
      </c>
      <c r="I26" s="19" t="inlineStr">
        <is>
          <t>Fixed Tilt</t>
        </is>
      </c>
      <c r="J26" s="19" t="n">
        <v>1</v>
      </c>
      <c r="K26" s="19" t="inlineStr">
        <is>
          <t>-</t>
        </is>
      </c>
      <c r="L26" s="19" t="inlineStr">
        <is>
          <t>-</t>
        </is>
      </c>
      <c r="M26" s="19" t="n">
        <v>2014</v>
      </c>
      <c r="N26" s="19" t="n">
        <v>2039</v>
      </c>
      <c r="O26" s="19" t="n">
        <v>-30.604753</v>
      </c>
      <c r="P26" s="19" t="n">
        <v>24.095239</v>
      </c>
    </row>
    <row r="27">
      <c r="A27" s="73" t="inlineStr">
        <is>
          <t>BASE</t>
        </is>
      </c>
      <c r="B27" s="75" t="inlineStr">
        <is>
          <t>Upington Solar PV</t>
        </is>
      </c>
      <c r="C27" s="75" t="inlineStr">
        <is>
          <t>Upington</t>
        </is>
      </c>
      <c r="D27" s="75" t="inlineStr">
        <is>
          <t>BW2</t>
        </is>
      </c>
      <c r="E27" s="75" t="inlineStr">
        <is>
          <t>solar_pv</t>
        </is>
      </c>
      <c r="F27" s="35" t="n">
        <v>8.9</v>
      </c>
      <c r="G27" s="35" t="n">
        <v>2176</v>
      </c>
      <c r="H27" s="35" t="n">
        <v>0</v>
      </c>
      <c r="I27" s="35" t="inlineStr">
        <is>
          <t>Fixed Tilt</t>
        </is>
      </c>
      <c r="J27" s="35" t="n">
        <v>1.12</v>
      </c>
      <c r="K27" s="35" t="inlineStr">
        <is>
          <t>-</t>
        </is>
      </c>
      <c r="L27" s="35" t="inlineStr">
        <is>
          <t>-</t>
        </is>
      </c>
      <c r="M27" s="35" t="n">
        <v>2014</v>
      </c>
      <c r="N27" s="35" t="n">
        <v>2039</v>
      </c>
      <c r="O27" s="35" t="n">
        <v>-28.5493</v>
      </c>
      <c r="P27" s="35" t="n">
        <v>21.1038</v>
      </c>
    </row>
    <row r="28">
      <c r="A28" s="73" t="inlineStr">
        <is>
          <t>BASE</t>
        </is>
      </c>
      <c r="B28" s="74" t="inlineStr">
        <is>
          <t>Vredendal</t>
        </is>
      </c>
      <c r="C28" s="74" t="inlineStr">
        <is>
          <t>Vredendal</t>
        </is>
      </c>
      <c r="D28" s="74" t="inlineStr">
        <is>
          <t>BW2</t>
        </is>
      </c>
      <c r="E28" s="74" t="inlineStr">
        <is>
          <t>solar_pv</t>
        </is>
      </c>
      <c r="F28" s="19" t="n">
        <v>8.800000000000001</v>
      </c>
      <c r="G28" s="19" t="n">
        <v>2176</v>
      </c>
      <c r="H28" s="19" t="n">
        <v>0</v>
      </c>
      <c r="I28" s="19" t="inlineStr">
        <is>
          <t>Fixed Tilt</t>
        </is>
      </c>
      <c r="J28" s="19" t="n">
        <v>1.19</v>
      </c>
      <c r="K28" s="19" t="inlineStr">
        <is>
          <t>-</t>
        </is>
      </c>
      <c r="L28" s="19" t="inlineStr">
        <is>
          <t>-</t>
        </is>
      </c>
      <c r="M28" s="19" t="n">
        <v>2014</v>
      </c>
      <c r="N28" s="19" t="n">
        <v>2039</v>
      </c>
      <c r="O28" s="19" t="n">
        <v>-31.634886</v>
      </c>
      <c r="P28" s="19" t="n">
        <v>18.505356</v>
      </c>
    </row>
    <row r="29">
      <c r="A29" s="73" t="inlineStr">
        <is>
          <t>BASE</t>
        </is>
      </c>
      <c r="B29" s="75" t="inlineStr">
        <is>
          <t>Adams Solar PV 2</t>
        </is>
      </c>
      <c r="C29" s="75" t="inlineStr">
        <is>
          <t>Adams</t>
        </is>
      </c>
      <c r="D29" s="75" t="inlineStr">
        <is>
          <t>BW3</t>
        </is>
      </c>
      <c r="E29" s="75" t="inlineStr">
        <is>
          <t>solar_pv</t>
        </is>
      </c>
      <c r="F29" s="35" t="n">
        <v>75</v>
      </c>
      <c r="G29" s="35" t="n">
        <v>1165</v>
      </c>
      <c r="H29" s="35" t="n">
        <v>0</v>
      </c>
      <c r="I29" s="35" t="inlineStr">
        <is>
          <t>Fixed Tilt</t>
        </is>
      </c>
      <c r="J29" s="35" t="n">
        <v>1.1</v>
      </c>
      <c r="K29" s="35" t="inlineStr">
        <is>
          <t>-</t>
        </is>
      </c>
      <c r="L29" s="35" t="inlineStr">
        <is>
          <t>-</t>
        </is>
      </c>
      <c r="M29" s="35" t="n">
        <v>2017</v>
      </c>
      <c r="N29" s="35" t="n">
        <v>2042</v>
      </c>
      <c r="O29" s="35" t="n">
        <v>-27.378969</v>
      </c>
      <c r="P29" s="35" t="n">
        <v>23.012989</v>
      </c>
    </row>
    <row r="30">
      <c r="A30" s="73" t="inlineStr">
        <is>
          <t>BASE</t>
        </is>
      </c>
      <c r="B30" s="74" t="inlineStr">
        <is>
          <t>Electra Capital (Pty) Ltd</t>
        </is>
      </c>
      <c r="C30" s="74" t="inlineStr">
        <is>
          <t>Electra_Capital</t>
        </is>
      </c>
      <c r="D30" s="74" t="inlineStr">
        <is>
          <t>BW3</t>
        </is>
      </c>
      <c r="E30" s="74" t="inlineStr">
        <is>
          <t>solar_pv</t>
        </is>
      </c>
      <c r="F30" s="19" t="n">
        <v>75</v>
      </c>
      <c r="G30" s="19" t="n">
        <v>1165</v>
      </c>
      <c r="H30" s="19" t="n">
        <v>0</v>
      </c>
      <c r="I30" s="19" t="inlineStr">
        <is>
          <t>Fixed Tilt</t>
        </is>
      </c>
      <c r="J30" s="19" t="n">
        <v>1</v>
      </c>
      <c r="K30" s="19" t="inlineStr">
        <is>
          <t>-</t>
        </is>
      </c>
      <c r="L30" s="19" t="inlineStr">
        <is>
          <t>-</t>
        </is>
      </c>
      <c r="M30" s="19" t="n">
        <v>2016</v>
      </c>
      <c r="N30" s="19" t="n">
        <v>2041</v>
      </c>
      <c r="O30" s="19" t="n">
        <v>-32.4148</v>
      </c>
      <c r="P30" s="19" t="n">
        <v>18.7379</v>
      </c>
    </row>
    <row r="31">
      <c r="A31" s="73" t="inlineStr">
        <is>
          <t>BASE</t>
        </is>
      </c>
      <c r="B31" s="75" t="inlineStr">
        <is>
          <t>Mulilo Prieska PV</t>
        </is>
      </c>
      <c r="C31" s="75" t="inlineStr">
        <is>
          <t>Mulilo_Prieska2</t>
        </is>
      </c>
      <c r="D31" s="75" t="inlineStr">
        <is>
          <t>BW3</t>
        </is>
      </c>
      <c r="E31" s="75" t="inlineStr">
        <is>
          <t>solar_pv</t>
        </is>
      </c>
      <c r="F31" s="35" t="n">
        <v>75</v>
      </c>
      <c r="G31" s="35" t="n">
        <v>1165</v>
      </c>
      <c r="H31" s="35" t="n">
        <v>0</v>
      </c>
      <c r="I31" s="35" t="inlineStr">
        <is>
          <t>Fixed Tilt</t>
        </is>
      </c>
      <c r="J31" s="35" t="n">
        <v>1.15</v>
      </c>
      <c r="K31" s="35" t="inlineStr">
        <is>
          <t>-</t>
        </is>
      </c>
      <c r="L31" s="35" t="inlineStr">
        <is>
          <t>-</t>
        </is>
      </c>
      <c r="M31" s="35" t="n">
        <v>2016</v>
      </c>
      <c r="N31" s="35" t="n">
        <v>2041</v>
      </c>
      <c r="O31" s="35" t="n">
        <v>-30.0375</v>
      </c>
      <c r="P31" s="35" t="n">
        <v>22.317222</v>
      </c>
    </row>
    <row r="32">
      <c r="A32" s="73" t="inlineStr">
        <is>
          <t>BASE</t>
        </is>
      </c>
      <c r="B32" s="74" t="inlineStr">
        <is>
          <t>Mulilo Sonnedix Prieska PV</t>
        </is>
      </c>
      <c r="C32" s="74" t="inlineStr">
        <is>
          <t>Mulilo_Prieska3</t>
        </is>
      </c>
      <c r="D32" s="74" t="inlineStr">
        <is>
          <t>BW3</t>
        </is>
      </c>
      <c r="E32" s="74" t="inlineStr">
        <is>
          <t>solar_pv</t>
        </is>
      </c>
      <c r="F32" s="19" t="n">
        <v>75</v>
      </c>
      <c r="G32" s="19" t="n">
        <v>1165</v>
      </c>
      <c r="H32" s="19" t="n">
        <v>0</v>
      </c>
      <c r="I32" s="19" t="inlineStr">
        <is>
          <t>Single Axis</t>
        </is>
      </c>
      <c r="J32" s="19" t="n">
        <v>1.15</v>
      </c>
      <c r="K32" s="19" t="inlineStr">
        <is>
          <t>-</t>
        </is>
      </c>
      <c r="L32" s="19" t="inlineStr">
        <is>
          <t>-</t>
        </is>
      </c>
      <c r="M32" s="19" t="n">
        <v>2016</v>
      </c>
      <c r="N32" s="19" t="n">
        <v>2041</v>
      </c>
      <c r="O32" s="19" t="n">
        <v>-30.024444</v>
      </c>
      <c r="P32" s="19" t="n">
        <v>22.362778</v>
      </c>
    </row>
    <row r="33">
      <c r="A33" s="73" t="inlineStr">
        <is>
          <t>BASE</t>
        </is>
      </c>
      <c r="B33" s="75" t="inlineStr">
        <is>
          <t>Pulida Solar Park</t>
        </is>
      </c>
      <c r="C33" s="75" t="inlineStr">
        <is>
          <t>Pulida</t>
        </is>
      </c>
      <c r="D33" s="75" t="inlineStr">
        <is>
          <t>BW3</t>
        </is>
      </c>
      <c r="E33" s="75" t="inlineStr">
        <is>
          <t>solar_pv</t>
        </is>
      </c>
      <c r="F33" s="35" t="n">
        <v>75</v>
      </c>
      <c r="G33" s="35" t="n">
        <v>1165</v>
      </c>
      <c r="H33" s="35" t="n">
        <v>0</v>
      </c>
      <c r="I33" s="35" t="inlineStr">
        <is>
          <t>Fixed Tilt</t>
        </is>
      </c>
      <c r="J33" s="35" t="n">
        <v>1.1</v>
      </c>
      <c r="K33" s="35" t="inlineStr">
        <is>
          <t>-</t>
        </is>
      </c>
      <c r="L33" s="35" t="inlineStr">
        <is>
          <t>-</t>
        </is>
      </c>
      <c r="M33" s="35" t="n">
        <v>2017</v>
      </c>
      <c r="N33" s="35" t="n">
        <v>2042</v>
      </c>
      <c r="O33" s="35" t="n">
        <v>-29.086944</v>
      </c>
      <c r="P33" s="35" t="n">
        <v>24.903333</v>
      </c>
    </row>
    <row r="34">
      <c r="A34" s="73" t="inlineStr">
        <is>
          <t>BASE</t>
        </is>
      </c>
      <c r="B34" s="74" t="inlineStr">
        <is>
          <t>Tom Burke Solar Park</t>
        </is>
      </c>
      <c r="C34" s="74" t="inlineStr">
        <is>
          <t>Tom_Burke</t>
        </is>
      </c>
      <c r="D34" s="74" t="inlineStr">
        <is>
          <t>BW3</t>
        </is>
      </c>
      <c r="E34" s="74" t="inlineStr">
        <is>
          <t>solar_pv</t>
        </is>
      </c>
      <c r="F34" s="19" t="n">
        <v>60</v>
      </c>
      <c r="G34" s="19" t="n">
        <v>1165</v>
      </c>
      <c r="H34" s="19" t="n">
        <v>0</v>
      </c>
      <c r="I34" s="19" t="inlineStr">
        <is>
          <t>Fixed Tilt</t>
        </is>
      </c>
      <c r="J34" s="19" t="n">
        <v>1.1</v>
      </c>
      <c r="K34" s="19" t="inlineStr">
        <is>
          <t>-</t>
        </is>
      </c>
      <c r="L34" s="19" t="inlineStr">
        <is>
          <t>-</t>
        </is>
      </c>
      <c r="M34" s="19" t="n">
        <v>2016</v>
      </c>
      <c r="N34" s="19" t="n">
        <v>2041</v>
      </c>
      <c r="O34" s="19" t="n">
        <v>-23.072778</v>
      </c>
      <c r="P34" s="19" t="n">
        <v>27.989444</v>
      </c>
    </row>
    <row r="35">
      <c r="A35" s="73" t="inlineStr">
        <is>
          <t>BASE</t>
        </is>
      </c>
      <c r="B35" s="75" t="inlineStr">
        <is>
          <t>Aggeneys Solar</t>
        </is>
      </c>
      <c r="C35" s="75" t="inlineStr">
        <is>
          <t>Aggeneys</t>
        </is>
      </c>
      <c r="D35" s="75" t="inlineStr">
        <is>
          <t>BW4</t>
        </is>
      </c>
      <c r="E35" s="75" t="inlineStr">
        <is>
          <t>solar_pv</t>
        </is>
      </c>
      <c r="F35" s="35" t="n">
        <v>40</v>
      </c>
      <c r="G35" s="35" t="n">
        <v>872</v>
      </c>
      <c r="H35" s="35" t="n">
        <v>0</v>
      </c>
      <c r="I35" s="35" t="inlineStr">
        <is>
          <t>Single Axis</t>
        </is>
      </c>
      <c r="J35" s="35" t="n">
        <v>1.15</v>
      </c>
      <c r="K35" s="35" t="inlineStr">
        <is>
          <t>-</t>
        </is>
      </c>
      <c r="L35" s="35" t="inlineStr">
        <is>
          <t>-</t>
        </is>
      </c>
      <c r="M35" s="35" t="n">
        <v>2020</v>
      </c>
      <c r="N35" s="35" t="n">
        <v>2045</v>
      </c>
      <c r="O35" s="35" t="n">
        <v>-29.235794</v>
      </c>
      <c r="P35" s="35" t="n">
        <v>18.897656</v>
      </c>
    </row>
    <row r="36">
      <c r="A36" s="73" t="inlineStr">
        <is>
          <t>BASE</t>
        </is>
      </c>
      <c r="B36" s="74" t="inlineStr">
        <is>
          <t>Bokamoso</t>
        </is>
      </c>
      <c r="C36" s="74" t="inlineStr">
        <is>
          <t>Bokamoso</t>
        </is>
      </c>
      <c r="D36" s="74" t="inlineStr">
        <is>
          <t>BW4</t>
        </is>
      </c>
      <c r="E36" s="74" t="inlineStr">
        <is>
          <t>solar_pv</t>
        </is>
      </c>
      <c r="F36" s="19" t="n">
        <v>67.90000000000001</v>
      </c>
      <c r="G36" s="19" t="n">
        <v>872</v>
      </c>
      <c r="H36" s="19" t="n">
        <v>0</v>
      </c>
      <c r="I36" s="19" t="inlineStr">
        <is>
          <t>Single Axis</t>
        </is>
      </c>
      <c r="J36" s="19" t="n">
        <v>1.15</v>
      </c>
      <c r="K36" s="19" t="inlineStr">
        <is>
          <t>-</t>
        </is>
      </c>
      <c r="L36" s="19" t="inlineStr">
        <is>
          <t>-</t>
        </is>
      </c>
      <c r="M36" s="19" t="n">
        <v>2020</v>
      </c>
      <c r="N36" s="19" t="n">
        <v>2045</v>
      </c>
      <c r="O36" s="19" t="n">
        <v>-27.1583</v>
      </c>
      <c r="P36" s="19" t="n">
        <v>26.4009</v>
      </c>
    </row>
    <row r="37">
      <c r="A37" s="73" t="inlineStr">
        <is>
          <t>BASE</t>
        </is>
      </c>
      <c r="B37" s="75" t="inlineStr">
        <is>
          <t>De Wildt</t>
        </is>
      </c>
      <c r="C37" s="75" t="inlineStr">
        <is>
          <t>De_Wildt</t>
        </is>
      </c>
      <c r="D37" s="75" t="inlineStr">
        <is>
          <t>BW4</t>
        </is>
      </c>
      <c r="E37" s="75" t="inlineStr">
        <is>
          <t>solar_pv</t>
        </is>
      </c>
      <c r="F37" s="35" t="n">
        <v>50</v>
      </c>
      <c r="G37" s="35" t="n">
        <v>872</v>
      </c>
      <c r="H37" s="35" t="n">
        <v>0</v>
      </c>
      <c r="I37" s="35" t="inlineStr">
        <is>
          <t>Single Axis</t>
        </is>
      </c>
      <c r="J37" s="35" t="n">
        <v>1.16</v>
      </c>
      <c r="K37" s="35" t="inlineStr">
        <is>
          <t>-</t>
        </is>
      </c>
      <c r="L37" s="35" t="inlineStr">
        <is>
          <t>-</t>
        </is>
      </c>
      <c r="M37" s="35" t="n">
        <v>2021</v>
      </c>
      <c r="N37" s="35" t="n">
        <v>2046</v>
      </c>
      <c r="O37" s="35" t="n">
        <v>-25.6332</v>
      </c>
      <c r="P37" s="35" t="n">
        <v>27.9307</v>
      </c>
    </row>
    <row r="38">
      <c r="A38" s="73" t="inlineStr">
        <is>
          <t>BASE</t>
        </is>
      </c>
      <c r="B38" s="74" t="inlineStr">
        <is>
          <t>Droogfontein Solar Power</t>
        </is>
      </c>
      <c r="C38" s="74" t="inlineStr">
        <is>
          <t>Droogfontein2</t>
        </is>
      </c>
      <c r="D38" s="74" t="inlineStr">
        <is>
          <t>BW4</t>
        </is>
      </c>
      <c r="E38" s="74" t="inlineStr">
        <is>
          <t>solar_pv</t>
        </is>
      </c>
      <c r="F38" s="19" t="n">
        <v>75</v>
      </c>
      <c r="G38" s="19" t="n">
        <v>872</v>
      </c>
      <c r="H38" s="19" t="n">
        <v>0</v>
      </c>
      <c r="I38" s="19" t="inlineStr">
        <is>
          <t>Single Axis</t>
        </is>
      </c>
      <c r="J38" s="19" t="n">
        <v>1.15</v>
      </c>
      <c r="K38" s="19" t="inlineStr">
        <is>
          <t>-</t>
        </is>
      </c>
      <c r="L38" s="19" t="inlineStr">
        <is>
          <t>-</t>
        </is>
      </c>
      <c r="M38" s="19" t="n">
        <v>2020</v>
      </c>
      <c r="N38" s="19" t="n">
        <v>2045</v>
      </c>
      <c r="O38" s="19" t="n">
        <v>-28.5677</v>
      </c>
      <c r="P38" s="19" t="n">
        <v>24.7023</v>
      </c>
    </row>
    <row r="39">
      <c r="A39" s="73" t="inlineStr">
        <is>
          <t>BASE</t>
        </is>
      </c>
      <c r="B39" s="75" t="inlineStr">
        <is>
          <t>Dyasons Klip 1</t>
        </is>
      </c>
      <c r="C39" s="75" t="inlineStr">
        <is>
          <t>Dyasons_Klip1</t>
        </is>
      </c>
      <c r="D39" s="75" t="inlineStr">
        <is>
          <t>BW4</t>
        </is>
      </c>
      <c r="E39" s="75" t="inlineStr">
        <is>
          <t>solar_pv</t>
        </is>
      </c>
      <c r="F39" s="35" t="n">
        <v>75</v>
      </c>
      <c r="G39" s="35" t="n">
        <v>872</v>
      </c>
      <c r="H39" s="35" t="n">
        <v>0</v>
      </c>
      <c r="I39" s="35" t="inlineStr">
        <is>
          <t>Single Axis</t>
        </is>
      </c>
      <c r="J39" s="35" t="n">
        <v>1.15</v>
      </c>
      <c r="K39" s="35" t="inlineStr">
        <is>
          <t>-</t>
        </is>
      </c>
      <c r="L39" s="35" t="inlineStr">
        <is>
          <t>-</t>
        </is>
      </c>
      <c r="M39" s="35" t="n">
        <v>2020</v>
      </c>
      <c r="N39" s="35" t="n">
        <v>2045</v>
      </c>
      <c r="O39" s="35" t="n">
        <v>-28.5493</v>
      </c>
      <c r="P39" s="35" t="n">
        <v>21.1038</v>
      </c>
    </row>
    <row r="40">
      <c r="A40" s="73" t="inlineStr">
        <is>
          <t>BASE</t>
        </is>
      </c>
      <c r="B40" s="74" t="inlineStr">
        <is>
          <t>Dyasons Klip 2</t>
        </is>
      </c>
      <c r="C40" s="74" t="inlineStr">
        <is>
          <t>Dyasons_Klip2</t>
        </is>
      </c>
      <c r="D40" s="74" t="inlineStr">
        <is>
          <t>BW4</t>
        </is>
      </c>
      <c r="E40" s="74" t="inlineStr">
        <is>
          <t>solar_pv</t>
        </is>
      </c>
      <c r="F40" s="19" t="n">
        <v>75</v>
      </c>
      <c r="G40" s="19" t="n">
        <v>872</v>
      </c>
      <c r="H40" s="19" t="n">
        <v>0</v>
      </c>
      <c r="I40" s="19" t="inlineStr">
        <is>
          <t>Single Axis</t>
        </is>
      </c>
      <c r="J40" s="19" t="n">
        <v>1.15</v>
      </c>
      <c r="K40" s="19" t="inlineStr">
        <is>
          <t>-</t>
        </is>
      </c>
      <c r="L40" s="19" t="inlineStr">
        <is>
          <t>-</t>
        </is>
      </c>
      <c r="M40" s="19" t="n">
        <v>2020</v>
      </c>
      <c r="N40" s="19" t="n">
        <v>2045</v>
      </c>
      <c r="O40" s="19" t="n">
        <v>-28.5707</v>
      </c>
      <c r="P40" s="19" t="n">
        <v>21.0613</v>
      </c>
    </row>
    <row r="41">
      <c r="A41" s="73" t="inlineStr">
        <is>
          <t>BASE</t>
        </is>
      </c>
      <c r="B41" s="75" t="inlineStr">
        <is>
          <t>Greefspan PV Power Plant2</t>
        </is>
      </c>
      <c r="C41" s="75" t="inlineStr">
        <is>
          <t>Greefspan2</t>
        </is>
      </c>
      <c r="D41" s="75" t="inlineStr">
        <is>
          <t>BW4</t>
        </is>
      </c>
      <c r="E41" s="75" t="inlineStr">
        <is>
          <t>solar_pv</t>
        </is>
      </c>
      <c r="F41" s="35" t="n">
        <v>55</v>
      </c>
      <c r="G41" s="35" t="n">
        <v>872</v>
      </c>
      <c r="H41" s="35" t="n">
        <v>0</v>
      </c>
      <c r="I41" s="35" t="inlineStr">
        <is>
          <t>Single Axis</t>
        </is>
      </c>
      <c r="J41" s="35" t="n">
        <v>1.15</v>
      </c>
      <c r="K41" s="35" t="inlineStr">
        <is>
          <t>-</t>
        </is>
      </c>
      <c r="L41" s="35" t="inlineStr">
        <is>
          <t>-</t>
        </is>
      </c>
      <c r="M41" s="35" t="n">
        <v>2021</v>
      </c>
      <c r="N41" s="35" t="n">
        <v>2046</v>
      </c>
      <c r="O41" s="35" t="n">
        <v>-29.3857</v>
      </c>
      <c r="P41" s="35" t="n">
        <v>23.3172</v>
      </c>
    </row>
    <row r="42">
      <c r="A42" s="73" t="inlineStr">
        <is>
          <t>BASE</t>
        </is>
      </c>
      <c r="B42" s="74" t="inlineStr">
        <is>
          <t>Konkoonsies II Solar PV Facility</t>
        </is>
      </c>
      <c r="C42" s="74" t="inlineStr">
        <is>
          <t>Konkoonsies2</t>
        </is>
      </c>
      <c r="D42" s="74" t="inlineStr">
        <is>
          <t>BW4</t>
        </is>
      </c>
      <c r="E42" s="74" t="inlineStr">
        <is>
          <t>solar_pv</t>
        </is>
      </c>
      <c r="F42" s="19" t="n">
        <v>75</v>
      </c>
      <c r="G42" s="19" t="n">
        <v>872</v>
      </c>
      <c r="H42" s="19" t="n">
        <v>0</v>
      </c>
      <c r="I42" s="19" t="inlineStr">
        <is>
          <t>Single Axis</t>
        </is>
      </c>
      <c r="J42" s="19" t="n">
        <v>1.15</v>
      </c>
      <c r="K42" s="19" t="inlineStr">
        <is>
          <t>-</t>
        </is>
      </c>
      <c r="L42" s="19" t="inlineStr">
        <is>
          <t>-</t>
        </is>
      </c>
      <c r="M42" s="19" t="n">
        <v>2020</v>
      </c>
      <c r="N42" s="19" t="n">
        <v>2045</v>
      </c>
      <c r="O42" s="19" t="n">
        <v>-28.898811</v>
      </c>
      <c r="P42" s="19" t="n">
        <v>19.557383</v>
      </c>
    </row>
    <row r="43">
      <c r="A43" s="73" t="inlineStr">
        <is>
          <t>BASE</t>
        </is>
      </c>
      <c r="B43" s="75" t="inlineStr">
        <is>
          <t>Loeriesfontein Orange</t>
        </is>
      </c>
      <c r="C43" s="75" t="inlineStr">
        <is>
          <t>Loeriesfontein</t>
        </is>
      </c>
      <c r="D43" s="75" t="inlineStr">
        <is>
          <t>BW4</t>
        </is>
      </c>
      <c r="E43" s="75" t="inlineStr">
        <is>
          <t>solar_pv</t>
        </is>
      </c>
      <c r="F43" s="35" t="n">
        <v>75</v>
      </c>
      <c r="G43" s="35" t="n">
        <v>872</v>
      </c>
      <c r="H43" s="35" t="n">
        <v>0</v>
      </c>
      <c r="I43" s="35" t="inlineStr">
        <is>
          <t>Single Axis</t>
        </is>
      </c>
      <c r="J43" s="35" t="n">
        <v>1.15</v>
      </c>
      <c r="K43" s="35" t="inlineStr">
        <is>
          <t>-</t>
        </is>
      </c>
      <c r="L43" s="35" t="inlineStr">
        <is>
          <t>-</t>
        </is>
      </c>
      <c r="M43" s="35" t="n">
        <v>2023</v>
      </c>
      <c r="N43" s="35" t="n">
        <v>2048</v>
      </c>
      <c r="O43" s="35" t="n">
        <v>-30.91810861</v>
      </c>
      <c r="P43" s="35" t="n">
        <v>19.44104346</v>
      </c>
    </row>
    <row r="44">
      <c r="A44" s="73" t="inlineStr">
        <is>
          <t>BASE</t>
        </is>
      </c>
      <c r="B44" s="74" t="inlineStr">
        <is>
          <t>Sirius Solar PV Project One</t>
        </is>
      </c>
      <c r="C44" s="74" t="inlineStr">
        <is>
          <t>Sirius</t>
        </is>
      </c>
      <c r="D44" s="74" t="inlineStr">
        <is>
          <t>BW4</t>
        </is>
      </c>
      <c r="E44" s="74" t="inlineStr">
        <is>
          <t>solar_pv</t>
        </is>
      </c>
      <c r="F44" s="19" t="n">
        <v>75</v>
      </c>
      <c r="G44" s="19" t="n">
        <v>872</v>
      </c>
      <c r="H44" s="19" t="n">
        <v>0</v>
      </c>
      <c r="I44" s="19" t="inlineStr">
        <is>
          <t>Single Axis</t>
        </is>
      </c>
      <c r="J44" s="19" t="n">
        <v>1.15</v>
      </c>
      <c r="K44" s="19" t="inlineStr">
        <is>
          <t>-</t>
        </is>
      </c>
      <c r="L44" s="19" t="inlineStr">
        <is>
          <t>-</t>
        </is>
      </c>
      <c r="M44" s="19" t="n">
        <v>2020</v>
      </c>
      <c r="N44" s="19" t="n">
        <v>2045</v>
      </c>
      <c r="O44" s="19" t="n">
        <v>-28.547361</v>
      </c>
      <c r="P44" s="19" t="n">
        <v>21.09495</v>
      </c>
    </row>
    <row r="45">
      <c r="A45" s="73" t="inlineStr">
        <is>
          <t>BASE</t>
        </is>
      </c>
      <c r="B45" s="75" t="inlineStr">
        <is>
          <t>Waterloo Solar Park</t>
        </is>
      </c>
      <c r="C45" s="75" t="inlineStr">
        <is>
          <t>Waterloo</t>
        </is>
      </c>
      <c r="D45" s="75" t="inlineStr">
        <is>
          <t>BW4</t>
        </is>
      </c>
      <c r="E45" s="75" t="inlineStr">
        <is>
          <t>solar_pv</t>
        </is>
      </c>
      <c r="F45" s="35" t="n">
        <v>75</v>
      </c>
      <c r="G45" s="35" t="n">
        <v>872</v>
      </c>
      <c r="H45" s="35" t="n">
        <v>0</v>
      </c>
      <c r="I45" s="35" t="inlineStr">
        <is>
          <t>Single Axis</t>
        </is>
      </c>
      <c r="J45" s="35" t="n">
        <v>1.15</v>
      </c>
      <c r="K45" s="35" t="inlineStr">
        <is>
          <t>-</t>
        </is>
      </c>
      <c r="L45" s="35" t="inlineStr">
        <is>
          <t>-</t>
        </is>
      </c>
      <c r="M45" s="35" t="n">
        <v>2020</v>
      </c>
      <c r="N45" s="35" t="n">
        <v>2045</v>
      </c>
      <c r="O45" s="35" t="n">
        <v>-27.0322</v>
      </c>
      <c r="P45" s="35" t="n">
        <v>24.7931</v>
      </c>
    </row>
    <row r="46">
      <c r="A46" s="73" t="inlineStr">
        <is>
          <t>BASE</t>
        </is>
      </c>
      <c r="B46" s="74" t="inlineStr">
        <is>
          <t>Zeerust</t>
        </is>
      </c>
      <c r="C46" s="74" t="inlineStr">
        <is>
          <t>Zeerust</t>
        </is>
      </c>
      <c r="D46" s="74" t="inlineStr">
        <is>
          <t>BW4</t>
        </is>
      </c>
      <c r="E46" s="74" t="inlineStr">
        <is>
          <t>solar_pv</t>
        </is>
      </c>
      <c r="F46" s="19" t="n">
        <v>75</v>
      </c>
      <c r="G46" s="19" t="n">
        <v>872</v>
      </c>
      <c r="H46" s="19" t="n">
        <v>0</v>
      </c>
      <c r="I46" s="19" t="inlineStr">
        <is>
          <t>Single Axis</t>
        </is>
      </c>
      <c r="J46" s="19" t="n">
        <v>1.15</v>
      </c>
      <c r="K46" s="19" t="inlineStr">
        <is>
          <t>-</t>
        </is>
      </c>
      <c r="L46" s="19" t="inlineStr">
        <is>
          <t>-</t>
        </is>
      </c>
      <c r="M46" s="19" t="n">
        <v>2021</v>
      </c>
      <c r="N46" s="19" t="n">
        <v>2046</v>
      </c>
      <c r="O46" s="19" t="n">
        <v>-25.5748</v>
      </c>
      <c r="P46" s="19" t="n">
        <v>26.0718</v>
      </c>
    </row>
    <row r="47">
      <c r="A47" s="73" t="inlineStr">
        <is>
          <t>BASE</t>
        </is>
      </c>
      <c r="B47" s="74" t="inlineStr">
        <is>
          <t>Graspan Solar PV Project</t>
        </is>
      </c>
      <c r="C47" s="74" t="inlineStr">
        <is>
          <t>Graspan</t>
        </is>
      </c>
      <c r="D47" s="74" t="inlineStr">
        <is>
          <t>BW5</t>
        </is>
      </c>
      <c r="E47" s="74" t="inlineStr">
        <is>
          <t>solar_pv</t>
        </is>
      </c>
      <c r="F47" s="19" t="n">
        <v>75</v>
      </c>
      <c r="G47" s="19" t="n">
        <v>600</v>
      </c>
      <c r="H47" s="19" t="n">
        <v>0</v>
      </c>
      <c r="I47" s="19" t="inlineStr">
        <is>
          <t>Single Axis</t>
        </is>
      </c>
      <c r="J47" s="19" t="n">
        <v>1.15</v>
      </c>
      <c r="K47" s="19" t="inlineStr">
        <is>
          <t>-</t>
        </is>
      </c>
      <c r="L47" s="19" t="inlineStr">
        <is>
          <t>-</t>
        </is>
      </c>
      <c r="M47" s="19" t="n">
        <v>2024</v>
      </c>
      <c r="N47" s="19" t="n">
        <v>2049</v>
      </c>
      <c r="O47" s="19" t="n">
        <v>-29.3662</v>
      </c>
      <c r="P47" s="19" t="n">
        <v>24.417</v>
      </c>
    </row>
    <row r="48">
      <c r="A48" s="73" t="inlineStr">
        <is>
          <t>BASE</t>
        </is>
      </c>
      <c r="B48" s="75" t="inlineStr">
        <is>
          <t>Grootfontein PV 1</t>
        </is>
      </c>
      <c r="C48" s="75" t="inlineStr">
        <is>
          <t>Grootfontein1</t>
        </is>
      </c>
      <c r="D48" s="75" t="inlineStr">
        <is>
          <t>BW5</t>
        </is>
      </c>
      <c r="E48" s="75" t="inlineStr">
        <is>
          <t>solar_pv</t>
        </is>
      </c>
      <c r="F48" s="35" t="n">
        <v>75</v>
      </c>
      <c r="G48" s="35" t="n">
        <v>600</v>
      </c>
      <c r="H48" s="35" t="n">
        <v>0</v>
      </c>
      <c r="I48" s="35" t="inlineStr">
        <is>
          <t>Single Axis</t>
        </is>
      </c>
      <c r="J48" s="35" t="n">
        <v>1.15</v>
      </c>
      <c r="K48" s="35" t="inlineStr">
        <is>
          <t>-</t>
        </is>
      </c>
      <c r="L48" s="35" t="inlineStr">
        <is>
          <t>-</t>
        </is>
      </c>
      <c r="M48" s="35" t="n">
        <v>2025</v>
      </c>
      <c r="N48" s="35" t="n">
        <v>2050</v>
      </c>
      <c r="O48" s="35" t="n">
        <v>-32.9583</v>
      </c>
      <c r="P48" s="35" t="n">
        <v>19.9319</v>
      </c>
    </row>
    <row r="49">
      <c r="A49" s="73" t="inlineStr">
        <is>
          <t>BASE</t>
        </is>
      </c>
      <c r="B49" s="74" t="inlineStr">
        <is>
          <t>Grootfontein PV 2</t>
        </is>
      </c>
      <c r="C49" s="74" t="inlineStr">
        <is>
          <t>Grootfontein2</t>
        </is>
      </c>
      <c r="D49" s="74" t="inlineStr">
        <is>
          <t>BW5</t>
        </is>
      </c>
      <c r="E49" s="74" t="inlineStr">
        <is>
          <t>solar_pv</t>
        </is>
      </c>
      <c r="F49" s="19" t="n">
        <v>75</v>
      </c>
      <c r="G49" s="19" t="n">
        <v>600</v>
      </c>
      <c r="H49" s="19" t="n">
        <v>0</v>
      </c>
      <c r="I49" s="19" t="inlineStr">
        <is>
          <t>Single Axis</t>
        </is>
      </c>
      <c r="J49" s="19" t="n">
        <v>1.15</v>
      </c>
      <c r="K49" s="19" t="inlineStr">
        <is>
          <t>-</t>
        </is>
      </c>
      <c r="L49" s="19" t="inlineStr">
        <is>
          <t>-</t>
        </is>
      </c>
      <c r="M49" s="19" t="n">
        <v>2025</v>
      </c>
      <c r="N49" s="19" t="n">
        <v>2050</v>
      </c>
      <c r="O49" s="19" t="n">
        <v>-32.9583</v>
      </c>
      <c r="P49" s="19" t="n">
        <v>19.9444</v>
      </c>
    </row>
    <row r="50">
      <c r="A50" s="73" t="inlineStr">
        <is>
          <t>BASE</t>
        </is>
      </c>
      <c r="B50" s="75" t="inlineStr">
        <is>
          <t>Grootfontein PV 3</t>
        </is>
      </c>
      <c r="C50" s="75" t="inlineStr">
        <is>
          <t>Grootfontein3</t>
        </is>
      </c>
      <c r="D50" s="75" t="inlineStr">
        <is>
          <t>BW5</t>
        </is>
      </c>
      <c r="E50" s="75" t="inlineStr">
        <is>
          <t>solar_pv</t>
        </is>
      </c>
      <c r="F50" s="35" t="n">
        <v>75</v>
      </c>
      <c r="G50" s="35" t="n">
        <v>600</v>
      </c>
      <c r="H50" s="35" t="n">
        <v>0</v>
      </c>
      <c r="I50" s="35" t="inlineStr">
        <is>
          <t>Single Axis</t>
        </is>
      </c>
      <c r="J50" s="35" t="n">
        <v>1.15</v>
      </c>
      <c r="K50" s="35" t="inlineStr">
        <is>
          <t>-</t>
        </is>
      </c>
      <c r="L50" s="35" t="inlineStr">
        <is>
          <t>-</t>
        </is>
      </c>
      <c r="M50" s="35" t="n">
        <v>2025</v>
      </c>
      <c r="N50" s="35" t="n">
        <v>2050</v>
      </c>
      <c r="O50" s="35" t="n">
        <v>-32.9583</v>
      </c>
      <c r="P50" s="35" t="n">
        <v>19.9528</v>
      </c>
    </row>
    <row r="51">
      <c r="A51" s="73" t="inlineStr">
        <is>
          <t>BASE</t>
        </is>
      </c>
      <c r="B51" s="74" t="inlineStr">
        <is>
          <t>Grootspruit Solar PV Project</t>
        </is>
      </c>
      <c r="C51" s="74" t="inlineStr">
        <is>
          <t>Grootspruit</t>
        </is>
      </c>
      <c r="D51" s="74" t="inlineStr">
        <is>
          <t>BW5</t>
        </is>
      </c>
      <c r="E51" s="74" t="inlineStr">
        <is>
          <t>solar_pv</t>
        </is>
      </c>
      <c r="F51" s="19" t="n">
        <v>75</v>
      </c>
      <c r="G51" s="19" t="n">
        <v>600</v>
      </c>
      <c r="H51" s="19" t="n">
        <v>0</v>
      </c>
      <c r="I51" s="19" t="inlineStr">
        <is>
          <t>Single Axis</t>
        </is>
      </c>
      <c r="J51" s="19" t="n">
        <v>1.15</v>
      </c>
      <c r="K51" s="19" t="inlineStr">
        <is>
          <t>-</t>
        </is>
      </c>
      <c r="L51" s="19" t="inlineStr">
        <is>
          <t>-</t>
        </is>
      </c>
      <c r="M51" s="19" t="n">
        <v>2024</v>
      </c>
      <c r="N51" s="19" t="n">
        <v>2049</v>
      </c>
      <c r="O51" s="19" t="n">
        <v>-27.7375</v>
      </c>
      <c r="P51" s="19" t="n">
        <v>26.775</v>
      </c>
    </row>
    <row r="52">
      <c r="A52" s="73" t="inlineStr">
        <is>
          <t>BASE</t>
        </is>
      </c>
      <c r="B52" s="75" t="inlineStr">
        <is>
          <t>Doornhoek PV</t>
        </is>
      </c>
      <c r="C52" s="75" t="inlineStr">
        <is>
          <t>Doornhoek</t>
        </is>
      </c>
      <c r="D52" s="75" t="inlineStr">
        <is>
          <t>BW6</t>
        </is>
      </c>
      <c r="E52" s="75" t="inlineStr">
        <is>
          <t>solar_pv</t>
        </is>
      </c>
      <c r="F52" s="35" t="n">
        <v>120</v>
      </c>
      <c r="G52" s="35" t="n">
        <v>600</v>
      </c>
      <c r="H52" s="35" t="n">
        <v>0</v>
      </c>
      <c r="I52" s="35" t="inlineStr">
        <is>
          <t>Single Axis</t>
        </is>
      </c>
      <c r="J52" s="35" t="n">
        <v>1.15</v>
      </c>
      <c r="K52" s="35" t="inlineStr">
        <is>
          <t>-</t>
        </is>
      </c>
      <c r="L52" s="35" t="inlineStr">
        <is>
          <t>-</t>
        </is>
      </c>
      <c r="M52" s="35" t="n">
        <v>2026</v>
      </c>
      <c r="N52" s="35" t="n">
        <v>2051</v>
      </c>
      <c r="O52" s="35" t="n">
        <v>-26.434</v>
      </c>
      <c r="P52" s="35" t="n">
        <v>26.2843</v>
      </c>
    </row>
    <row r="53">
      <c r="A53" s="73" t="inlineStr">
        <is>
          <t>BASE</t>
        </is>
      </c>
      <c r="B53" s="92" t="inlineStr">
        <is>
          <t>Virginia 4 Solar Park</t>
        </is>
      </c>
      <c r="C53" s="92" t="inlineStr">
        <is>
          <t>Virginia4</t>
        </is>
      </c>
      <c r="D53" s="75" t="inlineStr">
        <is>
          <t>BW6</t>
        </is>
      </c>
      <c r="E53" s="75" t="inlineStr">
        <is>
          <t>solar_pv</t>
        </is>
      </c>
      <c r="F53" s="35" t="n">
        <v>210</v>
      </c>
      <c r="G53" s="35" t="n">
        <v>600</v>
      </c>
      <c r="H53" s="35" t="n">
        <v>0</v>
      </c>
      <c r="I53" s="35" t="inlineStr">
        <is>
          <t>Single Axis</t>
        </is>
      </c>
      <c r="J53" s="35" t="n">
        <v>1.15</v>
      </c>
      <c r="K53" s="35" t="inlineStr">
        <is>
          <t>-</t>
        </is>
      </c>
      <c r="L53" s="35" t="inlineStr">
        <is>
          <t>-</t>
        </is>
      </c>
      <c r="M53" s="35" t="n">
        <v>2026</v>
      </c>
      <c r="N53" s="35" t="n">
        <v>2051</v>
      </c>
      <c r="O53" s="35" t="n">
        <v>-28.212335</v>
      </c>
      <c r="P53" s="35" t="n">
        <v>26.990032</v>
      </c>
    </row>
    <row r="54">
      <c r="A54" s="73" t="inlineStr">
        <is>
          <t>BASE</t>
        </is>
      </c>
      <c r="B54" s="74" t="inlineStr">
        <is>
          <t>Cookhouse Wind Farm</t>
        </is>
      </c>
      <c r="C54" s="74" t="inlineStr">
        <is>
          <t>Cookhouse</t>
        </is>
      </c>
      <c r="D54" s="74" t="inlineStr">
        <is>
          <t>BW1</t>
        </is>
      </c>
      <c r="E54" s="74" t="inlineStr">
        <is>
          <t>wind</t>
        </is>
      </c>
      <c r="F54" s="19" t="n">
        <v>135</v>
      </c>
      <c r="G54" s="19" t="n">
        <v>1513</v>
      </c>
      <c r="H54" s="19" t="n">
        <v>0</v>
      </c>
      <c r="I54" s="19" t="inlineStr">
        <is>
          <t>-</t>
        </is>
      </c>
      <c r="J54" s="19" t="inlineStr">
        <is>
          <t>-</t>
        </is>
      </c>
      <c r="K54" s="19" t="n">
        <v>115</v>
      </c>
      <c r="L54" s="19" t="inlineStr">
        <is>
          <t>-</t>
        </is>
      </c>
      <c r="M54" s="19" t="n">
        <v>2014</v>
      </c>
      <c r="N54" s="19" t="n">
        <v>2034</v>
      </c>
      <c r="O54" s="19" t="n">
        <v>-32.7333</v>
      </c>
      <c r="P54" s="19" t="n">
        <v>25.9093</v>
      </c>
    </row>
    <row r="55">
      <c r="A55" s="73" t="inlineStr">
        <is>
          <t>BASE</t>
        </is>
      </c>
      <c r="B55" s="75" t="inlineStr">
        <is>
          <t>Dassieklip Wind Energy Facility</t>
        </is>
      </c>
      <c r="C55" s="75" t="inlineStr">
        <is>
          <t>Dassieklip</t>
        </is>
      </c>
      <c r="D55" s="75" t="inlineStr">
        <is>
          <t>BW1</t>
        </is>
      </c>
      <c r="E55" s="75" t="inlineStr">
        <is>
          <t>wind</t>
        </is>
      </c>
      <c r="F55" s="35" t="n">
        <v>26.19</v>
      </c>
      <c r="G55" s="35" t="n">
        <v>1513</v>
      </c>
      <c r="H55" s="35" t="n">
        <v>0</v>
      </c>
      <c r="I55" s="35" t="inlineStr">
        <is>
          <t>-</t>
        </is>
      </c>
      <c r="J55" s="35" t="inlineStr">
        <is>
          <t>-</t>
        </is>
      </c>
      <c r="K55" s="35" t="n">
        <v>91.5</v>
      </c>
      <c r="L55" s="35" t="inlineStr">
        <is>
          <t>-</t>
        </is>
      </c>
      <c r="M55" s="35" t="n">
        <v>2014</v>
      </c>
      <c r="N55" s="35" t="n">
        <v>2034</v>
      </c>
      <c r="O55" s="35" t="n">
        <v>-34.2275</v>
      </c>
      <c r="P55" s="35" t="n">
        <v>19.383</v>
      </c>
    </row>
    <row r="56">
      <c r="A56" s="73" t="inlineStr">
        <is>
          <t>BASE</t>
        </is>
      </c>
      <c r="B56" s="74" t="inlineStr">
        <is>
          <t>Umoya Energy Wind Farm</t>
        </is>
      </c>
      <c r="C56" s="74" t="inlineStr">
        <is>
          <t>Hopefield</t>
        </is>
      </c>
      <c r="D56" s="74" t="inlineStr">
        <is>
          <t>BW1</t>
        </is>
      </c>
      <c r="E56" s="74" t="inlineStr">
        <is>
          <t>wind</t>
        </is>
      </c>
      <c r="F56" s="19" t="n">
        <v>65.40000000000001</v>
      </c>
      <c r="G56" s="19" t="n">
        <v>1513</v>
      </c>
      <c r="H56" s="19" t="n">
        <v>0</v>
      </c>
      <c r="I56" s="19" t="inlineStr">
        <is>
          <t>-</t>
        </is>
      </c>
      <c r="J56" s="19" t="inlineStr">
        <is>
          <t>-</t>
        </is>
      </c>
      <c r="K56" s="19" t="n">
        <v>99.5</v>
      </c>
      <c r="L56" s="19" t="inlineStr">
        <is>
          <t>-</t>
        </is>
      </c>
      <c r="M56" s="19" t="n">
        <v>2014</v>
      </c>
      <c r="N56" s="19" t="n">
        <v>2034</v>
      </c>
      <c r="O56" s="19" t="n">
        <v>-33.0928</v>
      </c>
      <c r="P56" s="19" t="n">
        <v>18.3989</v>
      </c>
    </row>
    <row r="57">
      <c r="A57" s="73" t="inlineStr">
        <is>
          <t>BASE</t>
        </is>
      </c>
      <c r="B57" s="75" t="inlineStr">
        <is>
          <t>Jeffreys Bay Wind Farm</t>
        </is>
      </c>
      <c r="C57" s="75" t="inlineStr">
        <is>
          <t>Jeffreysbay</t>
        </is>
      </c>
      <c r="D57" s="75" t="inlineStr">
        <is>
          <t>BW1</t>
        </is>
      </c>
      <c r="E57" s="75" t="inlineStr">
        <is>
          <t>wind</t>
        </is>
      </c>
      <c r="F57" s="35" t="n">
        <v>133.86</v>
      </c>
      <c r="G57" s="35" t="n">
        <v>1513</v>
      </c>
      <c r="H57" s="35" t="n">
        <v>0</v>
      </c>
      <c r="I57" s="35" t="inlineStr">
        <is>
          <t>-</t>
        </is>
      </c>
      <c r="J57" s="35" t="inlineStr">
        <is>
          <t>-</t>
        </is>
      </c>
      <c r="K57" s="35" t="n">
        <v>80</v>
      </c>
      <c r="L57" s="35" t="inlineStr">
        <is>
          <t>-</t>
        </is>
      </c>
      <c r="M57" s="35" t="n">
        <v>2014</v>
      </c>
      <c r="N57" s="35" t="n">
        <v>2034</v>
      </c>
      <c r="O57" s="35" t="n">
        <v>-34.0107</v>
      </c>
      <c r="P57" s="35" t="n">
        <v>24.8808</v>
      </c>
    </row>
    <row r="58">
      <c r="A58" s="73" t="inlineStr">
        <is>
          <t>BASE</t>
        </is>
      </c>
      <c r="B58" s="74" t="inlineStr">
        <is>
          <t>Kouga Wind Farm</t>
        </is>
      </c>
      <c r="C58" s="74" t="inlineStr">
        <is>
          <t>Kouga</t>
        </is>
      </c>
      <c r="D58" s="74" t="inlineStr">
        <is>
          <t>BW1</t>
        </is>
      </c>
      <c r="E58" s="74" t="inlineStr">
        <is>
          <t>wind</t>
        </is>
      </c>
      <c r="F58" s="19" t="n">
        <v>77.59999999999999</v>
      </c>
      <c r="G58" s="19" t="n">
        <v>1513</v>
      </c>
      <c r="H58" s="19" t="n">
        <v>0</v>
      </c>
      <c r="I58" s="19" t="inlineStr">
        <is>
          <t>-</t>
        </is>
      </c>
      <c r="J58" s="19" t="inlineStr">
        <is>
          <t>-</t>
        </is>
      </c>
      <c r="K58" s="19" t="n">
        <v>99.5</v>
      </c>
      <c r="L58" s="19" t="inlineStr">
        <is>
          <t>-</t>
        </is>
      </c>
      <c r="M58" s="19" t="n">
        <v>2014</v>
      </c>
      <c r="N58" s="19" t="n">
        <v>2034</v>
      </c>
      <c r="O58" s="19" t="n">
        <v>-34.14656</v>
      </c>
      <c r="P58" s="19" t="n">
        <v>24.7004</v>
      </c>
    </row>
    <row r="59">
      <c r="A59" s="73" t="inlineStr">
        <is>
          <t>BASE</t>
        </is>
      </c>
      <c r="B59" s="75" t="inlineStr">
        <is>
          <t>Metrowind Van Stadens Wind Farm</t>
        </is>
      </c>
      <c r="C59" s="75" t="inlineStr">
        <is>
          <t>Metrowind</t>
        </is>
      </c>
      <c r="D59" s="75" t="inlineStr">
        <is>
          <t>BW1</t>
        </is>
      </c>
      <c r="E59" s="75" t="inlineStr">
        <is>
          <t>wind</t>
        </is>
      </c>
      <c r="F59" s="35" t="n">
        <v>86.59999999999999</v>
      </c>
      <c r="G59" s="35" t="n">
        <v>1513</v>
      </c>
      <c r="H59" s="35" t="n">
        <v>0</v>
      </c>
      <c r="I59" s="35" t="inlineStr">
        <is>
          <t>-</t>
        </is>
      </c>
      <c r="J59" s="35" t="inlineStr">
        <is>
          <t>-</t>
        </is>
      </c>
      <c r="K59" s="35" t="n">
        <v>80</v>
      </c>
      <c r="L59" s="35" t="inlineStr">
        <is>
          <t>-</t>
        </is>
      </c>
      <c r="M59" s="35" t="n">
        <v>2014</v>
      </c>
      <c r="N59" s="35" t="n">
        <v>2034</v>
      </c>
      <c r="O59" s="35" t="n">
        <v>-33.96222</v>
      </c>
      <c r="P59" s="35" t="n">
        <v>25.24444</v>
      </c>
    </row>
    <row r="60">
      <c r="A60" s="73" t="inlineStr">
        <is>
          <t>BASE</t>
        </is>
      </c>
      <c r="B60" s="74" t="inlineStr">
        <is>
          <t>Nobelsfontein Phase 1</t>
        </is>
      </c>
      <c r="C60" s="74" t="inlineStr">
        <is>
          <t>Noblesfontein</t>
        </is>
      </c>
      <c r="D60" s="74" t="inlineStr">
        <is>
          <t>BW1</t>
        </is>
      </c>
      <c r="E60" s="74" t="inlineStr">
        <is>
          <t>wind</t>
        </is>
      </c>
      <c r="F60" s="19" t="n">
        <v>72.75</v>
      </c>
      <c r="G60" s="19" t="n">
        <v>1513</v>
      </c>
      <c r="H60" s="19" t="n">
        <v>0</v>
      </c>
      <c r="I60" s="19" t="inlineStr">
        <is>
          <t>-</t>
        </is>
      </c>
      <c r="J60" s="19" t="inlineStr">
        <is>
          <t>-</t>
        </is>
      </c>
      <c r="K60" s="19" t="n">
        <v>80</v>
      </c>
      <c r="L60" s="19" t="inlineStr">
        <is>
          <t>-</t>
        </is>
      </c>
      <c r="M60" s="19" t="n">
        <v>2014</v>
      </c>
      <c r="N60" s="19" t="n">
        <v>2034</v>
      </c>
      <c r="O60" s="19" t="n">
        <v>-31.7508333333333</v>
      </c>
      <c r="P60" s="19" t="n">
        <v>23.1733333333333</v>
      </c>
    </row>
    <row r="61">
      <c r="A61" s="73" t="inlineStr">
        <is>
          <t>BASE</t>
        </is>
      </c>
      <c r="B61" s="75" t="inlineStr">
        <is>
          <t>Red Cap Gibson Bay</t>
        </is>
      </c>
      <c r="C61" s="75" t="inlineStr">
        <is>
          <t>Gibson_bay</t>
        </is>
      </c>
      <c r="D61" s="75" t="inlineStr">
        <is>
          <t>BW1</t>
        </is>
      </c>
      <c r="E61" s="75" t="inlineStr">
        <is>
          <t>wind</t>
        </is>
      </c>
      <c r="F61" s="35" t="n">
        <v>110</v>
      </c>
      <c r="G61" s="35" t="n">
        <v>1513</v>
      </c>
      <c r="H61" s="35" t="n">
        <v>0</v>
      </c>
      <c r="I61" s="35" t="inlineStr">
        <is>
          <t>-</t>
        </is>
      </c>
      <c r="J61" s="35" t="inlineStr">
        <is>
          <t>-</t>
        </is>
      </c>
      <c r="K61" s="35" t="n">
        <v>90</v>
      </c>
      <c r="L61" s="35" t="inlineStr">
        <is>
          <t>-</t>
        </is>
      </c>
      <c r="M61" s="35" t="n">
        <v>2014</v>
      </c>
      <c r="N61" s="35" t="n">
        <v>2034</v>
      </c>
      <c r="O61" s="35" t="n">
        <v>-34.1286</v>
      </c>
      <c r="P61" s="35" t="n">
        <v>24.4818</v>
      </c>
    </row>
    <row r="62">
      <c r="A62" s="73" t="inlineStr">
        <is>
          <t>BASE</t>
        </is>
      </c>
      <c r="B62" s="74" t="inlineStr">
        <is>
          <t>Eskom Sere</t>
        </is>
      </c>
      <c r="C62" s="74" t="inlineStr">
        <is>
          <t>Sere</t>
        </is>
      </c>
      <c r="D62" s="74" t="inlineStr">
        <is>
          <t>BW1</t>
        </is>
      </c>
      <c r="E62" s="74" t="inlineStr">
        <is>
          <t>wind</t>
        </is>
      </c>
      <c r="F62" s="19" t="n">
        <v>100</v>
      </c>
      <c r="G62" s="19" t="n">
        <v>1513</v>
      </c>
      <c r="H62" s="19" t="n">
        <v>0</v>
      </c>
      <c r="I62" s="19" t="inlineStr">
        <is>
          <t>-</t>
        </is>
      </c>
      <c r="J62" s="19" t="inlineStr">
        <is>
          <t>-</t>
        </is>
      </c>
      <c r="K62" s="19" t="n">
        <v>80</v>
      </c>
      <c r="L62" s="19" t="inlineStr">
        <is>
          <t>-</t>
        </is>
      </c>
      <c r="M62" s="19" t="n">
        <v>2014</v>
      </c>
      <c r="N62" s="19" t="n">
        <v>2034</v>
      </c>
      <c r="O62" s="19" t="n">
        <v>-31.4968568372347</v>
      </c>
      <c r="P62" s="19" t="n">
        <v>18.0633761989106</v>
      </c>
    </row>
    <row r="63">
      <c r="A63" s="73" t="inlineStr">
        <is>
          <t>BASE</t>
        </is>
      </c>
      <c r="B63" s="75" t="inlineStr">
        <is>
          <t>Amakhala Emoyeni</t>
        </is>
      </c>
      <c r="C63" s="75" t="inlineStr">
        <is>
          <t>Amakhala</t>
        </is>
      </c>
      <c r="D63" s="75" t="inlineStr">
        <is>
          <t>BW2</t>
        </is>
      </c>
      <c r="E63" s="75" t="inlineStr">
        <is>
          <t>wind</t>
        </is>
      </c>
      <c r="F63" s="35" t="n">
        <v>137.9</v>
      </c>
      <c r="G63" s="35" t="n">
        <v>1186</v>
      </c>
      <c r="H63" s="35" t="n">
        <v>0</v>
      </c>
      <c r="I63" s="35" t="inlineStr">
        <is>
          <t>-</t>
        </is>
      </c>
      <c r="J63" s="35" t="inlineStr">
        <is>
          <t>-</t>
        </is>
      </c>
      <c r="K63" s="35" t="n">
        <v>80</v>
      </c>
      <c r="L63" s="35" t="inlineStr">
        <is>
          <t>-</t>
        </is>
      </c>
      <c r="M63" s="35" t="n">
        <v>2017</v>
      </c>
      <c r="N63" s="35" t="n">
        <v>2037</v>
      </c>
      <c r="O63" s="35" t="n">
        <v>-32.875797914561</v>
      </c>
      <c r="P63" s="35" t="n">
        <v>25.9975301</v>
      </c>
    </row>
    <row r="64">
      <c r="A64" s="73" t="inlineStr">
        <is>
          <t>BASE</t>
        </is>
      </c>
      <c r="B64" s="74" t="inlineStr">
        <is>
          <t>Aurora Wind Power</t>
        </is>
      </c>
      <c r="C64" s="74" t="inlineStr">
        <is>
          <t>Aurora</t>
        </is>
      </c>
      <c r="D64" s="74" t="inlineStr">
        <is>
          <t>BW2</t>
        </is>
      </c>
      <c r="E64" s="74" t="inlineStr">
        <is>
          <t>wind</t>
        </is>
      </c>
      <c r="F64" s="19" t="n">
        <v>90.8</v>
      </c>
      <c r="G64" s="19" t="n">
        <v>1186</v>
      </c>
      <c r="H64" s="19" t="n">
        <v>0</v>
      </c>
      <c r="I64" s="19" t="inlineStr">
        <is>
          <t>-</t>
        </is>
      </c>
      <c r="J64" s="19" t="inlineStr">
        <is>
          <t>-</t>
        </is>
      </c>
      <c r="K64" s="19" t="n">
        <v>99.5</v>
      </c>
      <c r="L64" s="19" t="inlineStr">
        <is>
          <t>-</t>
        </is>
      </c>
      <c r="M64" s="19" t="n">
        <v>2017</v>
      </c>
      <c r="N64" s="19" t="n">
        <v>2037</v>
      </c>
      <c r="O64" s="19" t="n">
        <v>-32.83425</v>
      </c>
      <c r="P64" s="19" t="n">
        <v>17.9956111111111</v>
      </c>
    </row>
    <row r="65">
      <c r="A65" s="73" t="inlineStr">
        <is>
          <t>BASE</t>
        </is>
      </c>
      <c r="B65" s="75" t="inlineStr">
        <is>
          <t>Chaba Wind Farm</t>
        </is>
      </c>
      <c r="C65" s="75" t="inlineStr">
        <is>
          <t>Chaba</t>
        </is>
      </c>
      <c r="D65" s="75" t="inlineStr">
        <is>
          <t>BW2</t>
        </is>
      </c>
      <c r="E65" s="75" t="inlineStr">
        <is>
          <t>wind</t>
        </is>
      </c>
      <c r="F65" s="35" t="n">
        <v>20.6</v>
      </c>
      <c r="G65" s="35" t="n">
        <v>1186</v>
      </c>
      <c r="H65" s="35" t="n">
        <v>0</v>
      </c>
      <c r="I65" s="35" t="inlineStr">
        <is>
          <t>-</t>
        </is>
      </c>
      <c r="J65" s="35" t="inlineStr">
        <is>
          <t>-</t>
        </is>
      </c>
      <c r="K65" s="35" t="n">
        <v>100</v>
      </c>
      <c r="L65" s="35" t="inlineStr">
        <is>
          <t>-</t>
        </is>
      </c>
      <c r="M65" s="35" t="n">
        <v>2017</v>
      </c>
      <c r="N65" s="35" t="n">
        <v>2037</v>
      </c>
      <c r="O65" s="35" t="n">
        <v>-32.5901</v>
      </c>
      <c r="P65" s="35" t="n">
        <v>27.9623</v>
      </c>
    </row>
    <row r="66">
      <c r="A66" s="73" t="inlineStr">
        <is>
          <t>BASE</t>
        </is>
      </c>
      <c r="B66" s="74" t="inlineStr">
        <is>
          <t>Gouda Wind Project</t>
        </is>
      </c>
      <c r="C66" s="74" t="inlineStr">
        <is>
          <t>Gouda</t>
        </is>
      </c>
      <c r="D66" s="74" t="inlineStr">
        <is>
          <t>BW2</t>
        </is>
      </c>
      <c r="E66" s="74" t="inlineStr">
        <is>
          <t>wind</t>
        </is>
      </c>
      <c r="F66" s="19" t="n">
        <v>135.2</v>
      </c>
      <c r="G66" s="19" t="n">
        <v>1186</v>
      </c>
      <c r="H66" s="19" t="n">
        <v>0</v>
      </c>
      <c r="I66" s="19" t="inlineStr">
        <is>
          <t>-</t>
        </is>
      </c>
      <c r="J66" s="19" t="inlineStr">
        <is>
          <t>-</t>
        </is>
      </c>
      <c r="K66" s="19" t="n">
        <v>91.5</v>
      </c>
      <c r="L66" s="19" t="inlineStr">
        <is>
          <t>-</t>
        </is>
      </c>
      <c r="M66" s="19" t="n">
        <v>2017</v>
      </c>
      <c r="N66" s="19" t="n">
        <v>2037</v>
      </c>
      <c r="O66" s="19" t="n">
        <v>-33.2564</v>
      </c>
      <c r="P66" s="19" t="n">
        <v>19.0184</v>
      </c>
    </row>
    <row r="67">
      <c r="A67" s="73" t="inlineStr">
        <is>
          <t>BASE</t>
        </is>
      </c>
      <c r="B67" s="75" t="inlineStr">
        <is>
          <t>Grassridge Wind Farm</t>
        </is>
      </c>
      <c r="C67" s="75" t="inlineStr">
        <is>
          <t>Grassridge</t>
        </is>
      </c>
      <c r="D67" s="75" t="inlineStr">
        <is>
          <t>BW2</t>
        </is>
      </c>
      <c r="E67" s="75" t="inlineStr">
        <is>
          <t>wind</t>
        </is>
      </c>
      <c r="F67" s="35" t="n">
        <v>59.8</v>
      </c>
      <c r="G67" s="35" t="n">
        <v>1186</v>
      </c>
      <c r="H67" s="35" t="n">
        <v>0</v>
      </c>
      <c r="I67" s="35" t="inlineStr">
        <is>
          <t>-</t>
        </is>
      </c>
      <c r="J67" s="35" t="inlineStr">
        <is>
          <t>-</t>
        </is>
      </c>
      <c r="K67" s="35" t="n">
        <v>115</v>
      </c>
      <c r="L67" s="35" t="inlineStr">
        <is>
          <t>-</t>
        </is>
      </c>
      <c r="M67" s="35" t="n">
        <v>2017</v>
      </c>
      <c r="N67" s="35" t="n">
        <v>2037</v>
      </c>
      <c r="O67" s="35" t="n">
        <v>-33.6551</v>
      </c>
      <c r="P67" s="35" t="n">
        <v>25.5915</v>
      </c>
    </row>
    <row r="68">
      <c r="A68" s="73" t="inlineStr">
        <is>
          <t>BASE</t>
        </is>
      </c>
      <c r="B68" s="74" t="inlineStr">
        <is>
          <t>Tsitsikamma Community Wind Farm</t>
        </is>
      </c>
      <c r="C68" s="74" t="inlineStr">
        <is>
          <t>Tsitsikama</t>
        </is>
      </c>
      <c r="D68" s="74" t="inlineStr">
        <is>
          <t>BW2</t>
        </is>
      </c>
      <c r="E68" s="74" t="inlineStr">
        <is>
          <t>wind</t>
        </is>
      </c>
      <c r="F68" s="19" t="n">
        <v>94.8</v>
      </c>
      <c r="G68" s="19" t="n">
        <v>1186</v>
      </c>
      <c r="H68" s="19" t="n">
        <v>0</v>
      </c>
      <c r="I68" s="19" t="inlineStr">
        <is>
          <t>-</t>
        </is>
      </c>
      <c r="J68" s="19" t="inlineStr">
        <is>
          <t>-</t>
        </is>
      </c>
      <c r="K68" s="19" t="n">
        <v>91</v>
      </c>
      <c r="L68" s="19" t="inlineStr">
        <is>
          <t>-</t>
        </is>
      </c>
      <c r="M68" s="19" t="n">
        <v>2017</v>
      </c>
      <c r="N68" s="19" t="n">
        <v>2037</v>
      </c>
      <c r="O68" s="19" t="n">
        <v>-34.0735</v>
      </c>
      <c r="P68" s="19" t="n">
        <v>24.5067</v>
      </c>
    </row>
    <row r="69">
      <c r="A69" s="73" t="inlineStr">
        <is>
          <t>BASE</t>
        </is>
      </c>
      <c r="B69" s="75" t="inlineStr">
        <is>
          <t>Waainek Wind Farm</t>
        </is>
      </c>
      <c r="C69" s="75" t="inlineStr">
        <is>
          <t>Waainek</t>
        </is>
      </c>
      <c r="D69" s="75" t="inlineStr">
        <is>
          <t>BW2</t>
        </is>
      </c>
      <c r="E69" s="75" t="inlineStr">
        <is>
          <t>wind</t>
        </is>
      </c>
      <c r="F69" s="35" t="n">
        <v>23.4</v>
      </c>
      <c r="G69" s="35" t="n">
        <v>1186</v>
      </c>
      <c r="H69" s="35" t="n">
        <v>0</v>
      </c>
      <c r="I69" s="35" t="inlineStr">
        <is>
          <t>-</t>
        </is>
      </c>
      <c r="J69" s="35" t="inlineStr">
        <is>
          <t>-</t>
        </is>
      </c>
      <c r="K69" s="35" t="n">
        <v>100</v>
      </c>
      <c r="L69" s="35" t="inlineStr">
        <is>
          <t>-</t>
        </is>
      </c>
      <c r="M69" s="35" t="n">
        <v>2017</v>
      </c>
      <c r="N69" s="35" t="n">
        <v>2037</v>
      </c>
      <c r="O69" s="35" t="n">
        <v>-32.5901</v>
      </c>
      <c r="P69" s="35" t="n">
        <v>26.4569</v>
      </c>
    </row>
    <row r="70">
      <c r="A70" s="73" t="inlineStr">
        <is>
          <t>BASE</t>
        </is>
      </c>
      <c r="B70" s="74" t="inlineStr">
        <is>
          <t>Dorper Wind Farm</t>
        </is>
      </c>
      <c r="C70" s="74" t="inlineStr">
        <is>
          <t>Dorper</t>
        </is>
      </c>
      <c r="D70" s="74" t="inlineStr">
        <is>
          <t>BW3</t>
        </is>
      </c>
      <c r="E70" s="74" t="inlineStr">
        <is>
          <t>wind</t>
        </is>
      </c>
      <c r="F70" s="19" t="n">
        <v>97</v>
      </c>
      <c r="G70" s="19" t="n">
        <v>868</v>
      </c>
      <c r="H70" s="19" t="n">
        <v>0</v>
      </c>
      <c r="I70" s="19" t="inlineStr">
        <is>
          <t>-</t>
        </is>
      </c>
      <c r="J70" s="19" t="inlineStr">
        <is>
          <t>-</t>
        </is>
      </c>
      <c r="K70" s="19" t="n">
        <v>115</v>
      </c>
      <c r="L70" s="19" t="inlineStr">
        <is>
          <t>-</t>
        </is>
      </c>
      <c r="M70" s="19" t="n">
        <v>2018</v>
      </c>
      <c r="N70" s="19" t="n">
        <v>2038</v>
      </c>
      <c r="O70" s="19" t="n">
        <v>-31.4809</v>
      </c>
      <c r="P70" s="19" t="n">
        <v>26.4393</v>
      </c>
    </row>
    <row r="71">
      <c r="A71" s="73" t="inlineStr">
        <is>
          <t>BASE</t>
        </is>
      </c>
      <c r="B71" s="75" t="inlineStr">
        <is>
          <t>Khobab Wind Farm</t>
        </is>
      </c>
      <c r="C71" s="75" t="inlineStr">
        <is>
          <t>Khobab</t>
        </is>
      </c>
      <c r="D71" s="75" t="inlineStr">
        <is>
          <t>BW3</t>
        </is>
      </c>
      <c r="E71" s="75" t="inlineStr">
        <is>
          <t>wind</t>
        </is>
      </c>
      <c r="F71" s="35" t="n">
        <v>137.7</v>
      </c>
      <c r="G71" s="35" t="n">
        <v>868</v>
      </c>
      <c r="H71" s="35" t="n">
        <v>0</v>
      </c>
      <c r="I71" s="35" t="inlineStr">
        <is>
          <t>-</t>
        </is>
      </c>
      <c r="J71" s="35" t="inlineStr">
        <is>
          <t>-</t>
        </is>
      </c>
      <c r="K71" s="35" t="n">
        <v>91.5</v>
      </c>
      <c r="L71" s="35" t="inlineStr">
        <is>
          <t>-</t>
        </is>
      </c>
      <c r="M71" s="35" t="n">
        <v>2018</v>
      </c>
      <c r="N71" s="35" t="n">
        <v>2038</v>
      </c>
      <c r="O71" s="35" t="n">
        <v>-30.4344</v>
      </c>
      <c r="P71" s="35" t="n">
        <v>19.5538</v>
      </c>
    </row>
    <row r="72">
      <c r="A72" s="73" t="inlineStr">
        <is>
          <t>BASE</t>
        </is>
      </c>
      <c r="B72" s="74" t="inlineStr">
        <is>
          <t>Loeriesfontein 2 Wind Farm</t>
        </is>
      </c>
      <c r="C72" s="74" t="inlineStr">
        <is>
          <t>Loeriesfontein2</t>
        </is>
      </c>
      <c r="D72" s="74" t="inlineStr">
        <is>
          <t>BW3</t>
        </is>
      </c>
      <c r="E72" s="74" t="inlineStr">
        <is>
          <t>wind</t>
        </is>
      </c>
      <c r="F72" s="19" t="n">
        <v>138.2</v>
      </c>
      <c r="G72" s="19" t="n">
        <v>868</v>
      </c>
      <c r="H72" s="19" t="n">
        <v>0</v>
      </c>
      <c r="I72" s="19" t="inlineStr">
        <is>
          <t>-</t>
        </is>
      </c>
      <c r="J72" s="19" t="inlineStr">
        <is>
          <t>-</t>
        </is>
      </c>
      <c r="K72" s="19" t="n">
        <v>94</v>
      </c>
      <c r="L72" s="19" t="inlineStr">
        <is>
          <t>-</t>
        </is>
      </c>
      <c r="M72" s="19" t="n">
        <v>2018</v>
      </c>
      <c r="N72" s="19" t="n">
        <v>2038</v>
      </c>
      <c r="O72" s="19" t="n">
        <v>-30.38040403</v>
      </c>
      <c r="P72" s="19" t="n">
        <v>19.58928465</v>
      </c>
    </row>
    <row r="73">
      <c r="A73" s="73" t="inlineStr">
        <is>
          <t>BASE</t>
        </is>
      </c>
      <c r="B73" s="75" t="inlineStr">
        <is>
          <t>Longyuan Mulilo De Aar Maanhaarberg Wind Energy Facility</t>
        </is>
      </c>
      <c r="C73" s="75" t="inlineStr">
        <is>
          <t>Mulilo_de_aar1</t>
        </is>
      </c>
      <c r="D73" s="75" t="inlineStr">
        <is>
          <t>BW3</t>
        </is>
      </c>
      <c r="E73" s="75" t="inlineStr">
        <is>
          <t>wind</t>
        </is>
      </c>
      <c r="F73" s="35" t="n">
        <v>139</v>
      </c>
      <c r="G73" s="35" t="n">
        <v>868</v>
      </c>
      <c r="H73" s="35" t="n">
        <v>0</v>
      </c>
      <c r="I73" s="35" t="inlineStr">
        <is>
          <t>-</t>
        </is>
      </c>
      <c r="J73" s="35" t="inlineStr">
        <is>
          <t>-</t>
        </is>
      </c>
      <c r="K73" s="35" t="n">
        <v>84</v>
      </c>
      <c r="L73" s="35" t="inlineStr">
        <is>
          <t>-</t>
        </is>
      </c>
      <c r="M73" s="35" t="n">
        <v>2018</v>
      </c>
      <c r="N73" s="35" t="n">
        <v>2038</v>
      </c>
      <c r="O73" s="35" t="n">
        <v>-30.7166666666666</v>
      </c>
      <c r="P73" s="35" t="n">
        <v>23.9205555555555</v>
      </c>
    </row>
    <row r="74">
      <c r="A74" s="73" t="inlineStr">
        <is>
          <t>BASE</t>
        </is>
      </c>
      <c r="B74" s="74" t="inlineStr">
        <is>
          <t>Longyuan Mulilo Green Energy De Aar 2 North Wind Energy Facility</t>
        </is>
      </c>
      <c r="C74" s="74" t="inlineStr">
        <is>
          <t>Mulilo_de_aar2</t>
        </is>
      </c>
      <c r="D74" s="74" t="inlineStr">
        <is>
          <t>BW3</t>
        </is>
      </c>
      <c r="E74" s="74" t="inlineStr">
        <is>
          <t>wind</t>
        </is>
      </c>
      <c r="F74" s="19" t="n">
        <v>96.5</v>
      </c>
      <c r="G74" s="19" t="n">
        <v>868</v>
      </c>
      <c r="H74" s="19" t="n">
        <v>0</v>
      </c>
      <c r="I74" s="19" t="inlineStr">
        <is>
          <t>-</t>
        </is>
      </c>
      <c r="J74" s="19" t="inlineStr">
        <is>
          <t>-</t>
        </is>
      </c>
      <c r="K74" s="19" t="n">
        <v>117</v>
      </c>
      <c r="L74" s="19" t="inlineStr">
        <is>
          <t>-</t>
        </is>
      </c>
      <c r="M74" s="19" t="n">
        <v>2018</v>
      </c>
      <c r="N74" s="19" t="n">
        <v>2038</v>
      </c>
      <c r="O74" s="19" t="n">
        <v>-30.7349</v>
      </c>
      <c r="P74" s="19" t="n">
        <v>23.8665</v>
      </c>
    </row>
    <row r="75">
      <c r="A75" s="73" t="inlineStr">
        <is>
          <t>BASE</t>
        </is>
      </c>
      <c r="B75" s="75" t="inlineStr">
        <is>
          <t>Nojoli Wind Farm</t>
        </is>
      </c>
      <c r="C75" s="75" t="inlineStr">
        <is>
          <t>Nojoli</t>
        </is>
      </c>
      <c r="D75" s="75" t="inlineStr">
        <is>
          <t>BW3</t>
        </is>
      </c>
      <c r="E75" s="75" t="inlineStr">
        <is>
          <t>wind</t>
        </is>
      </c>
      <c r="F75" s="35" t="n">
        <v>86.59999999999999</v>
      </c>
      <c r="G75" s="35" t="n">
        <v>868</v>
      </c>
      <c r="H75" s="35" t="n">
        <v>0</v>
      </c>
      <c r="I75" s="35" t="inlineStr">
        <is>
          <t>-</t>
        </is>
      </c>
      <c r="J75" s="35" t="inlineStr">
        <is>
          <t>-</t>
        </is>
      </c>
      <c r="K75" s="35" t="n">
        <v>100</v>
      </c>
      <c r="L75" s="35" t="inlineStr">
        <is>
          <t>-</t>
        </is>
      </c>
      <c r="M75" s="35" t="n">
        <v>2018</v>
      </c>
      <c r="N75" s="35" t="n">
        <v>2038</v>
      </c>
      <c r="O75" s="35" t="n">
        <v>-32.771</v>
      </c>
      <c r="P75" s="35" t="n">
        <v>25.91566</v>
      </c>
    </row>
    <row r="76">
      <c r="A76" s="73" t="inlineStr">
        <is>
          <t>BASE</t>
        </is>
      </c>
      <c r="B76" s="74" t="inlineStr">
        <is>
          <t>Noupoort Wind Farm</t>
        </is>
      </c>
      <c r="C76" s="74" t="inlineStr">
        <is>
          <t>Noupoort</t>
        </is>
      </c>
      <c r="D76" s="74" t="inlineStr">
        <is>
          <t>BW3</t>
        </is>
      </c>
      <c r="E76" s="74" t="inlineStr">
        <is>
          <t>wind</t>
        </is>
      </c>
      <c r="F76" s="19" t="n">
        <v>79.09999999999999</v>
      </c>
      <c r="G76" s="19" t="n">
        <v>868</v>
      </c>
      <c r="H76" s="19" t="n">
        <v>0</v>
      </c>
      <c r="I76" s="19" t="inlineStr">
        <is>
          <t>-</t>
        </is>
      </c>
      <c r="J76" s="19" t="inlineStr">
        <is>
          <t>-</t>
        </is>
      </c>
      <c r="K76" s="19" t="n">
        <v>100</v>
      </c>
      <c r="L76" s="19" t="inlineStr">
        <is>
          <t>-</t>
        </is>
      </c>
      <c r="M76" s="19" t="n">
        <v>2018</v>
      </c>
      <c r="N76" s="19" t="n">
        <v>2038</v>
      </c>
      <c r="O76" s="19" t="n">
        <v>-31.1728143217172</v>
      </c>
      <c r="P76" s="19" t="n">
        <v>25.0164487289082</v>
      </c>
    </row>
    <row r="77">
      <c r="A77" s="73" t="inlineStr">
        <is>
          <t>BASE</t>
        </is>
      </c>
      <c r="B77" s="75" t="inlineStr">
        <is>
          <t>Copperton Windfarm</t>
        </is>
      </c>
      <c r="C77" s="75" t="inlineStr">
        <is>
          <t>Copperton</t>
        </is>
      </c>
      <c r="D77" s="75" t="inlineStr">
        <is>
          <t>BW4</t>
        </is>
      </c>
      <c r="E77" s="75" t="inlineStr">
        <is>
          <t>wind</t>
        </is>
      </c>
      <c r="F77" s="35" t="n">
        <v>102</v>
      </c>
      <c r="G77" s="35" t="n">
        <v>687</v>
      </c>
      <c r="H77" s="35" t="n">
        <v>0</v>
      </c>
      <c r="I77" s="35" t="inlineStr">
        <is>
          <t>-</t>
        </is>
      </c>
      <c r="J77" s="35" t="inlineStr">
        <is>
          <t>-</t>
        </is>
      </c>
      <c r="K77" s="35" t="n">
        <v>100</v>
      </c>
      <c r="L77" s="35" t="inlineStr">
        <is>
          <t>-</t>
        </is>
      </c>
      <c r="M77" s="35" t="n">
        <v>2021</v>
      </c>
      <c r="N77" s="35" t="n">
        <v>2041</v>
      </c>
      <c r="O77" s="35" t="n">
        <v>-29.9078</v>
      </c>
      <c r="P77" s="35" t="n">
        <v>22.3391</v>
      </c>
    </row>
    <row r="78">
      <c r="A78" s="73" t="inlineStr">
        <is>
          <t>BASE</t>
        </is>
      </c>
      <c r="B78" s="74" t="inlineStr">
        <is>
          <t>Excelsior Wind Energy Facility</t>
        </is>
      </c>
      <c r="C78" s="74" t="inlineStr">
        <is>
          <t>Exelsior</t>
        </is>
      </c>
      <c r="D78" s="74" t="inlineStr">
        <is>
          <t>BW4</t>
        </is>
      </c>
      <c r="E78" s="74" t="inlineStr">
        <is>
          <t>wind</t>
        </is>
      </c>
      <c r="F78" s="19" t="n">
        <v>31.9</v>
      </c>
      <c r="G78" s="19" t="n">
        <v>687</v>
      </c>
      <c r="H78" s="19" t="n">
        <v>0</v>
      </c>
      <c r="I78" s="19" t="inlineStr">
        <is>
          <t>-</t>
        </is>
      </c>
      <c r="J78" s="19" t="inlineStr">
        <is>
          <t>-</t>
        </is>
      </c>
      <c r="K78" s="19" t="n">
        <v>100</v>
      </c>
      <c r="L78" s="19" t="inlineStr">
        <is>
          <t>-</t>
        </is>
      </c>
      <c r="M78" s="19" t="n">
        <v>2021</v>
      </c>
      <c r="N78" s="19" t="n">
        <v>2041</v>
      </c>
      <c r="O78" s="19" t="n">
        <v>-34.2423</v>
      </c>
      <c r="P78" s="19" t="n">
        <v>20.2307</v>
      </c>
    </row>
    <row r="79">
      <c r="A79" s="73" t="inlineStr">
        <is>
          <t>BASE</t>
        </is>
      </c>
      <c r="B79" s="75" t="inlineStr">
        <is>
          <t>Garob Wind Farm</t>
        </is>
      </c>
      <c r="C79" s="75" t="inlineStr">
        <is>
          <t>Garob</t>
        </is>
      </c>
      <c r="D79" s="75" t="inlineStr">
        <is>
          <t>BW4</t>
        </is>
      </c>
      <c r="E79" s="75" t="inlineStr">
        <is>
          <t>wind</t>
        </is>
      </c>
      <c r="F79" s="35" t="n">
        <v>135.9</v>
      </c>
      <c r="G79" s="35" t="n">
        <v>687</v>
      </c>
      <c r="H79" s="35" t="n">
        <v>0</v>
      </c>
      <c r="I79" s="35" t="inlineStr">
        <is>
          <t>-</t>
        </is>
      </c>
      <c r="J79" s="35" t="inlineStr">
        <is>
          <t>-</t>
        </is>
      </c>
      <c r="K79" s="35" t="n">
        <v>100</v>
      </c>
      <c r="L79" s="35" t="inlineStr">
        <is>
          <t>-</t>
        </is>
      </c>
      <c r="M79" s="35" t="n">
        <v>2021</v>
      </c>
      <c r="N79" s="35" t="n">
        <v>2041</v>
      </c>
      <c r="O79" s="35" t="n">
        <v>-29.959</v>
      </c>
      <c r="P79" s="35" t="n">
        <v>22.4131</v>
      </c>
    </row>
    <row r="80">
      <c r="A80" s="73" t="inlineStr">
        <is>
          <t>BASE</t>
        </is>
      </c>
      <c r="B80" s="74" t="inlineStr">
        <is>
          <t>Golden Valley Wind</t>
        </is>
      </c>
      <c r="C80" s="74" t="inlineStr">
        <is>
          <t>Golden_valley</t>
        </is>
      </c>
      <c r="D80" s="74" t="inlineStr">
        <is>
          <t>BW4</t>
        </is>
      </c>
      <c r="E80" s="74" t="inlineStr">
        <is>
          <t>wind</t>
        </is>
      </c>
      <c r="F80" s="19" t="n">
        <v>117.72</v>
      </c>
      <c r="G80" s="19" t="n">
        <v>687</v>
      </c>
      <c r="H80" s="19" t="n">
        <v>0</v>
      </c>
      <c r="I80" s="19" t="inlineStr">
        <is>
          <t>-</t>
        </is>
      </c>
      <c r="J80" s="19" t="inlineStr">
        <is>
          <t>-</t>
        </is>
      </c>
      <c r="K80" s="19" t="n">
        <v>100</v>
      </c>
      <c r="L80" s="19" t="inlineStr">
        <is>
          <t>-</t>
        </is>
      </c>
      <c r="M80" s="19" t="n">
        <v>2021</v>
      </c>
      <c r="N80" s="19" t="n">
        <v>2041</v>
      </c>
      <c r="O80" s="19" t="n">
        <v>-32.8875</v>
      </c>
      <c r="P80" s="19" t="n">
        <v>25.9418</v>
      </c>
    </row>
    <row r="81">
      <c r="A81" s="73" t="inlineStr">
        <is>
          <t>BASE</t>
        </is>
      </c>
      <c r="B81" s="75" t="inlineStr">
        <is>
          <t>Kangnas Wind Farm</t>
        </is>
      </c>
      <c r="C81" s="75" t="inlineStr">
        <is>
          <t>Kangnas</t>
        </is>
      </c>
      <c r="D81" s="75" t="inlineStr">
        <is>
          <t>BW4</t>
        </is>
      </c>
      <c r="E81" s="75" t="inlineStr">
        <is>
          <t>wind</t>
        </is>
      </c>
      <c r="F81" s="35" t="n">
        <v>136.7</v>
      </c>
      <c r="G81" s="35" t="n">
        <v>687</v>
      </c>
      <c r="H81" s="35" t="n">
        <v>0</v>
      </c>
      <c r="I81" s="35" t="inlineStr">
        <is>
          <t>-</t>
        </is>
      </c>
      <c r="J81" s="35" t="inlineStr">
        <is>
          <t>-</t>
        </is>
      </c>
      <c r="K81" s="35" t="n">
        <v>100</v>
      </c>
      <c r="L81" s="35" t="inlineStr">
        <is>
          <t>-</t>
        </is>
      </c>
      <c r="M81" s="35" t="n">
        <v>2021</v>
      </c>
      <c r="N81" s="35" t="n">
        <v>2041</v>
      </c>
      <c r="O81" s="35" t="n">
        <v>-29.6001</v>
      </c>
      <c r="P81" s="35" t="n">
        <v>18.357</v>
      </c>
    </row>
    <row r="82">
      <c r="A82" s="73" t="inlineStr">
        <is>
          <t>BASE</t>
        </is>
      </c>
      <c r="B82" s="74" t="inlineStr">
        <is>
          <t>The Karusa Wind Farm</t>
        </is>
      </c>
      <c r="C82" s="74" t="inlineStr">
        <is>
          <t>Karusa</t>
        </is>
      </c>
      <c r="D82" s="74" t="inlineStr">
        <is>
          <t>BW4</t>
        </is>
      </c>
      <c r="E82" s="74" t="inlineStr">
        <is>
          <t>wind</t>
        </is>
      </c>
      <c r="F82" s="19" t="n">
        <v>139.8</v>
      </c>
      <c r="G82" s="19" t="n">
        <v>687</v>
      </c>
      <c r="H82" s="19" t="n">
        <v>0</v>
      </c>
      <c r="I82" s="19" t="inlineStr">
        <is>
          <t>-</t>
        </is>
      </c>
      <c r="J82" s="19" t="inlineStr">
        <is>
          <t>-</t>
        </is>
      </c>
      <c r="K82" s="19" t="n">
        <v>100</v>
      </c>
      <c r="L82" s="19" t="inlineStr">
        <is>
          <t>-</t>
        </is>
      </c>
      <c r="M82" s="19" t="n">
        <v>2021</v>
      </c>
      <c r="N82" s="19" t="n">
        <v>2041</v>
      </c>
      <c r="O82" s="19" t="n">
        <v>-32.8858</v>
      </c>
      <c r="P82" s="19" t="n">
        <v>20.6567</v>
      </c>
    </row>
    <row r="83">
      <c r="A83" s="73" t="inlineStr">
        <is>
          <t>BASE</t>
        </is>
      </c>
      <c r="B83" s="75" t="inlineStr">
        <is>
          <t>Nxuba Wind Farm</t>
        </is>
      </c>
      <c r="C83" s="75" t="inlineStr">
        <is>
          <t>Nxuba</t>
        </is>
      </c>
      <c r="D83" s="75" t="inlineStr">
        <is>
          <t>BW4</t>
        </is>
      </c>
      <c r="E83" s="75" t="inlineStr">
        <is>
          <t>wind</t>
        </is>
      </c>
      <c r="F83" s="35" t="n">
        <v>138.9</v>
      </c>
      <c r="G83" s="35" t="n">
        <v>687</v>
      </c>
      <c r="H83" s="35" t="n">
        <v>0</v>
      </c>
      <c r="I83" s="35" t="inlineStr">
        <is>
          <t>-</t>
        </is>
      </c>
      <c r="J83" s="35" t="inlineStr">
        <is>
          <t>-</t>
        </is>
      </c>
      <c r="K83" s="35" t="n">
        <v>100</v>
      </c>
      <c r="L83" s="35" t="inlineStr">
        <is>
          <t>-</t>
        </is>
      </c>
      <c r="M83" s="35" t="n">
        <v>2021</v>
      </c>
      <c r="N83" s="35" t="n">
        <v>2041</v>
      </c>
      <c r="O83" s="35" t="n">
        <v>-32.73767</v>
      </c>
      <c r="P83" s="35" t="n">
        <v>25.96684</v>
      </c>
    </row>
    <row r="84">
      <c r="A84" s="73" t="inlineStr">
        <is>
          <t>BASE</t>
        </is>
      </c>
      <c r="B84" s="74" t="inlineStr">
        <is>
          <t>Oyster Bay Wind Farm</t>
        </is>
      </c>
      <c r="C84" s="74" t="inlineStr">
        <is>
          <t>Oyster_bay</t>
        </is>
      </c>
      <c r="D84" s="74" t="inlineStr">
        <is>
          <t>BW4</t>
        </is>
      </c>
      <c r="E84" s="74" t="inlineStr">
        <is>
          <t>wind</t>
        </is>
      </c>
      <c r="F84" s="19" t="n">
        <v>140</v>
      </c>
      <c r="G84" s="19" t="n">
        <v>687</v>
      </c>
      <c r="H84" s="19" t="n">
        <v>0</v>
      </c>
      <c r="I84" s="19" t="inlineStr">
        <is>
          <t>-</t>
        </is>
      </c>
      <c r="J84" s="19" t="inlineStr">
        <is>
          <t>-</t>
        </is>
      </c>
      <c r="K84" s="19" t="n">
        <v>100</v>
      </c>
      <c r="L84" s="19" t="inlineStr">
        <is>
          <t>-</t>
        </is>
      </c>
      <c r="M84" s="19" t="n">
        <v>2021</v>
      </c>
      <c r="N84" s="19" t="n">
        <v>2041</v>
      </c>
      <c r="O84" s="19" t="n">
        <v>-34.11639</v>
      </c>
      <c r="P84" s="19" t="n">
        <v>24.64889</v>
      </c>
    </row>
    <row r="85">
      <c r="A85" s="73" t="inlineStr">
        <is>
          <t>BASE</t>
        </is>
      </c>
      <c r="B85" s="75" t="inlineStr">
        <is>
          <t>Perdekraal East Wind Farm</t>
        </is>
      </c>
      <c r="C85" s="75" t="inlineStr">
        <is>
          <t>Perdekraal_east</t>
        </is>
      </c>
      <c r="D85" s="75" t="inlineStr">
        <is>
          <t>BW4</t>
        </is>
      </c>
      <c r="E85" s="75" t="inlineStr">
        <is>
          <t>wind</t>
        </is>
      </c>
      <c r="F85" s="35" t="n">
        <v>107.76</v>
      </c>
      <c r="G85" s="35" t="n">
        <v>687</v>
      </c>
      <c r="H85" s="35" t="n">
        <v>0</v>
      </c>
      <c r="I85" s="35" t="inlineStr">
        <is>
          <t>-</t>
        </is>
      </c>
      <c r="J85" s="35" t="inlineStr">
        <is>
          <t>-</t>
        </is>
      </c>
      <c r="K85" s="35" t="n">
        <v>100</v>
      </c>
      <c r="L85" s="35" t="inlineStr">
        <is>
          <t>-</t>
        </is>
      </c>
      <c r="M85" s="35" t="n">
        <v>2021</v>
      </c>
      <c r="N85" s="35" t="n">
        <v>2041</v>
      </c>
      <c r="O85" s="35" t="n">
        <v>-33.0544444444444</v>
      </c>
      <c r="P85" s="35" t="n">
        <v>20.1002777777777</v>
      </c>
    </row>
    <row r="86">
      <c r="A86" s="73" t="inlineStr">
        <is>
          <t>BASE</t>
        </is>
      </c>
      <c r="B86" s="74" t="inlineStr">
        <is>
          <t>Roggeveld Wind Farm</t>
        </is>
      </c>
      <c r="C86" s="74" t="inlineStr">
        <is>
          <t>Roggeveld</t>
        </is>
      </c>
      <c r="D86" s="74" t="inlineStr">
        <is>
          <t>BW4</t>
        </is>
      </c>
      <c r="E86" s="74" t="inlineStr">
        <is>
          <t>wind</t>
        </is>
      </c>
      <c r="F86" s="19" t="n">
        <v>140</v>
      </c>
      <c r="G86" s="19" t="n">
        <v>687</v>
      </c>
      <c r="H86" s="19" t="n">
        <v>0</v>
      </c>
      <c r="I86" s="19" t="inlineStr">
        <is>
          <t>-</t>
        </is>
      </c>
      <c r="J86" s="19" t="inlineStr">
        <is>
          <t>-</t>
        </is>
      </c>
      <c r="K86" s="19" t="n">
        <v>100</v>
      </c>
      <c r="L86" s="19" t="inlineStr">
        <is>
          <t>-</t>
        </is>
      </c>
      <c r="M86" s="19" t="n">
        <v>2021</v>
      </c>
      <c r="N86" s="19" t="n">
        <v>2041</v>
      </c>
      <c r="O86" s="19" t="n">
        <v>-32.9172333333333</v>
      </c>
      <c r="P86" s="19" t="n">
        <v>20.5090888888888</v>
      </c>
    </row>
    <row r="87">
      <c r="A87" s="73" t="inlineStr">
        <is>
          <t>BASE</t>
        </is>
      </c>
      <c r="B87" s="75" t="inlineStr">
        <is>
          <t>Soetwater Wind Farm</t>
        </is>
      </c>
      <c r="C87" s="75" t="inlineStr">
        <is>
          <t>Soetwater</t>
        </is>
      </c>
      <c r="D87" s="75" t="inlineStr">
        <is>
          <t>BW4</t>
        </is>
      </c>
      <c r="E87" s="75" t="inlineStr">
        <is>
          <t>wind</t>
        </is>
      </c>
      <c r="F87" s="35" t="n">
        <v>139.4</v>
      </c>
      <c r="G87" s="35" t="n">
        <v>687</v>
      </c>
      <c r="H87" s="35" t="n">
        <v>0</v>
      </c>
      <c r="I87" s="35" t="inlineStr">
        <is>
          <t>-</t>
        </is>
      </c>
      <c r="J87" s="35" t="inlineStr">
        <is>
          <t>-</t>
        </is>
      </c>
      <c r="K87" s="35" t="n">
        <v>100</v>
      </c>
      <c r="L87" s="35" t="inlineStr">
        <is>
          <t>-</t>
        </is>
      </c>
      <c r="M87" s="35" t="n">
        <v>2021</v>
      </c>
      <c r="N87" s="35" t="n">
        <v>2041</v>
      </c>
      <c r="O87" s="35" t="n">
        <v>-32.754</v>
      </c>
      <c r="P87" s="35" t="n">
        <v>20.6396</v>
      </c>
    </row>
    <row r="88">
      <c r="A88" s="73" t="inlineStr">
        <is>
          <t>BASE</t>
        </is>
      </c>
      <c r="B88" s="74" t="inlineStr">
        <is>
          <t>Coleskop</t>
        </is>
      </c>
      <c r="C88" s="74" t="inlineStr">
        <is>
          <t>Coleskop</t>
        </is>
      </c>
      <c r="D88" s="74" t="inlineStr">
        <is>
          <t>BW5</t>
        </is>
      </c>
      <c r="E88" s="74" t="inlineStr">
        <is>
          <t>wind</t>
        </is>
      </c>
      <c r="F88" s="19" t="n">
        <v>140</v>
      </c>
      <c r="G88" s="19" t="n">
        <v>600</v>
      </c>
      <c r="H88" s="19" t="n">
        <v>0</v>
      </c>
      <c r="I88" s="19" t="inlineStr">
        <is>
          <t>-</t>
        </is>
      </c>
      <c r="J88" s="19" t="inlineStr">
        <is>
          <t>-</t>
        </is>
      </c>
      <c r="K88" s="19" t="n">
        <v>124</v>
      </c>
      <c r="L88" s="19" t="inlineStr">
        <is>
          <t>-</t>
        </is>
      </c>
      <c r="M88" s="19" t="n">
        <v>2025</v>
      </c>
      <c r="N88" s="19" t="n">
        <v>2045</v>
      </c>
      <c r="O88" s="19" t="n">
        <v>-31.4022</v>
      </c>
      <c r="P88" s="19" t="n">
        <v>24.8035</v>
      </c>
    </row>
    <row r="89">
      <c r="A89" s="73" t="inlineStr">
        <is>
          <t>BASE</t>
        </is>
      </c>
      <c r="B89" s="75" t="inlineStr">
        <is>
          <t>Dwarsrug</t>
        </is>
      </c>
      <c r="C89" s="75" t="inlineStr">
        <is>
          <t>Dwarsrug</t>
        </is>
      </c>
      <c r="D89" s="75" t="inlineStr">
        <is>
          <t>BW5</t>
        </is>
      </c>
      <c r="E89" s="75" t="inlineStr">
        <is>
          <t>wind</t>
        </is>
      </c>
      <c r="F89" s="35" t="n">
        <v>140</v>
      </c>
      <c r="G89" s="35" t="n">
        <v>600</v>
      </c>
      <c r="H89" s="35" t="n">
        <v>0</v>
      </c>
      <c r="I89" s="35" t="inlineStr">
        <is>
          <t>-</t>
        </is>
      </c>
      <c r="J89" s="35" t="inlineStr">
        <is>
          <t>-</t>
        </is>
      </c>
      <c r="K89" s="35" t="n">
        <v>100</v>
      </c>
      <c r="L89" s="35" t="inlineStr">
        <is>
          <t>-</t>
        </is>
      </c>
      <c r="M89" s="35" t="n">
        <v>2025</v>
      </c>
      <c r="N89" s="35" t="n">
        <v>2045</v>
      </c>
      <c r="O89" s="35" t="n">
        <v>-30.4761</v>
      </c>
      <c r="P89" s="35" t="n">
        <v>19.6527</v>
      </c>
    </row>
    <row r="90">
      <c r="A90" s="73" t="inlineStr">
        <is>
          <t>BASE</t>
        </is>
      </c>
      <c r="B90" s="74" t="inlineStr">
        <is>
          <t>Phezukomoya</t>
        </is>
      </c>
      <c r="C90" s="74" t="inlineStr">
        <is>
          <t>Phezukomoya</t>
        </is>
      </c>
      <c r="D90" s="74" t="inlineStr">
        <is>
          <t>BW5</t>
        </is>
      </c>
      <c r="E90" s="74" t="inlineStr">
        <is>
          <t>wind</t>
        </is>
      </c>
      <c r="F90" s="19" t="n">
        <v>140</v>
      </c>
      <c r="G90" s="19" t="n">
        <v>600</v>
      </c>
      <c r="H90" s="19" t="n">
        <v>0</v>
      </c>
      <c r="I90" s="19" t="inlineStr">
        <is>
          <t>-</t>
        </is>
      </c>
      <c r="J90" s="19" t="inlineStr">
        <is>
          <t>-</t>
        </is>
      </c>
      <c r="K90" s="19" t="n">
        <v>100</v>
      </c>
      <c r="L90" s="19" t="inlineStr">
        <is>
          <t>-</t>
        </is>
      </c>
      <c r="M90" s="19" t="n">
        <v>2025</v>
      </c>
      <c r="N90" s="19" t="n">
        <v>2045</v>
      </c>
      <c r="O90" s="19" t="n">
        <v>-31.2525</v>
      </c>
      <c r="P90" s="19" t="n">
        <v>24.9523</v>
      </c>
    </row>
    <row r="91">
      <c r="A91" s="73" t="inlineStr">
        <is>
          <t>BASE</t>
        </is>
      </c>
      <c r="B91" s="75" t="inlineStr">
        <is>
          <t>San_Kraal</t>
        </is>
      </c>
      <c r="C91" s="75" t="inlineStr">
        <is>
          <t>San_Kraal</t>
        </is>
      </c>
      <c r="D91" s="75" t="inlineStr">
        <is>
          <t>BW5</t>
        </is>
      </c>
      <c r="E91" s="75" t="inlineStr">
        <is>
          <t>wind</t>
        </is>
      </c>
      <c r="F91" s="35" t="n">
        <v>140</v>
      </c>
      <c r="G91" s="35" t="n">
        <v>600</v>
      </c>
      <c r="H91" s="35" t="n">
        <v>0</v>
      </c>
      <c r="I91" s="35" t="inlineStr">
        <is>
          <t>-</t>
        </is>
      </c>
      <c r="J91" s="35" t="inlineStr">
        <is>
          <t>-</t>
        </is>
      </c>
      <c r="K91" s="35" t="n">
        <v>100</v>
      </c>
      <c r="L91" s="35" t="inlineStr">
        <is>
          <t>-</t>
        </is>
      </c>
      <c r="M91" s="35" t="n">
        <v>2025</v>
      </c>
      <c r="N91" s="35" t="n">
        <v>2045</v>
      </c>
      <c r="O91" s="35" t="n">
        <v>-29.7853</v>
      </c>
      <c r="P91" s="35" t="n">
        <v>18.4065</v>
      </c>
    </row>
    <row r="92">
      <c r="A92" s="73" t="inlineStr">
        <is>
          <t>BASE</t>
        </is>
      </c>
      <c r="B92" s="74" t="inlineStr">
        <is>
          <t>Waaihoek</t>
        </is>
      </c>
      <c r="C92" s="74" t="inlineStr">
        <is>
          <t>Waaihoek</t>
        </is>
      </c>
      <c r="D92" s="74" t="inlineStr">
        <is>
          <t>BW5</t>
        </is>
      </c>
      <c r="E92" s="74" t="inlineStr">
        <is>
          <t>wind</t>
        </is>
      </c>
      <c r="F92" s="19" t="n">
        <v>140</v>
      </c>
      <c r="G92" s="19" t="n">
        <v>600</v>
      </c>
      <c r="H92" s="19" t="n">
        <v>0</v>
      </c>
      <c r="I92" s="19" t="inlineStr">
        <is>
          <t>-</t>
        </is>
      </c>
      <c r="J92" s="19" t="inlineStr">
        <is>
          <t>-</t>
        </is>
      </c>
      <c r="K92" s="19" t="n">
        <v>100</v>
      </c>
      <c r="L92" s="19" t="inlineStr">
        <is>
          <t>-</t>
        </is>
      </c>
      <c r="M92" s="19" t="n">
        <v>2025</v>
      </c>
      <c r="N92" s="19" t="n">
        <v>2045</v>
      </c>
      <c r="O92" s="19" t="n">
        <v>-33.2564</v>
      </c>
      <c r="P92" s="19" t="n">
        <v>20.7423012873684</v>
      </c>
    </row>
    <row r="93">
      <c r="A93" s="73" t="inlineStr">
        <is>
          <t>BASE</t>
        </is>
      </c>
      <c r="B93" s="75" t="inlineStr">
        <is>
          <t>Wolf</t>
        </is>
      </c>
      <c r="C93" s="75" t="inlineStr">
        <is>
          <t>Wolf</t>
        </is>
      </c>
      <c r="D93" s="75" t="inlineStr">
        <is>
          <t>BW5</t>
        </is>
      </c>
      <c r="E93" s="75" t="inlineStr">
        <is>
          <t>wind</t>
        </is>
      </c>
      <c r="F93" s="35" t="n">
        <v>84</v>
      </c>
      <c r="G93" s="35" t="n">
        <v>600</v>
      </c>
      <c r="H93" s="35" t="n">
        <v>0</v>
      </c>
      <c r="I93" s="35" t="inlineStr">
        <is>
          <t>-</t>
        </is>
      </c>
      <c r="J93" s="35" t="inlineStr">
        <is>
          <t>-</t>
        </is>
      </c>
      <c r="K93" s="35" t="n">
        <v>100</v>
      </c>
      <c r="L93" s="35" t="inlineStr">
        <is>
          <t>-</t>
        </is>
      </c>
      <c r="M93" s="35" t="n">
        <v>2025</v>
      </c>
      <c r="N93" s="35" t="n">
        <v>2045</v>
      </c>
      <c r="O93" s="35" t="n">
        <v>-33.1538</v>
      </c>
      <c r="P93" s="35" t="n">
        <v>25.5536</v>
      </c>
    </row>
    <row r="94">
      <c r="A94" s="73" t="inlineStr">
        <is>
          <t>BASE</t>
        </is>
      </c>
      <c r="B94" s="74" t="inlineStr">
        <is>
          <t>Kaxu Solar One</t>
        </is>
      </c>
      <c r="C94" s="74" t="inlineStr">
        <is>
          <t>Kaxu</t>
        </is>
      </c>
      <c r="D94" s="74" t="inlineStr">
        <is>
          <t>BW1</t>
        </is>
      </c>
      <c r="E94" s="74" t="inlineStr">
        <is>
          <t>solar_csp</t>
        </is>
      </c>
      <c r="F94" s="19" t="n">
        <v>100</v>
      </c>
      <c r="G94" s="19" t="n">
        <v>3554</v>
      </c>
      <c r="H94" s="19" t="n">
        <v>0</v>
      </c>
      <c r="I94" s="19" t="inlineStr">
        <is>
          <t>-</t>
        </is>
      </c>
      <c r="J94" s="19" t="inlineStr">
        <is>
          <t>-</t>
        </is>
      </c>
      <c r="K94" s="19" t="inlineStr">
        <is>
          <t>-</t>
        </is>
      </c>
      <c r="L94" s="19" t="n">
        <v>3</v>
      </c>
      <c r="M94" s="19" t="n">
        <v>2015</v>
      </c>
      <c r="N94" s="19" t="n">
        <v>2045</v>
      </c>
      <c r="O94" s="19" t="n">
        <v>-28.8793</v>
      </c>
      <c r="P94" s="19" t="n">
        <v>19.5929</v>
      </c>
    </row>
    <row r="95">
      <c r="A95" s="73" t="inlineStr">
        <is>
          <t>BASE</t>
        </is>
      </c>
      <c r="B95" s="75" t="inlineStr">
        <is>
          <t>Khi Solar One</t>
        </is>
      </c>
      <c r="C95" s="75" t="inlineStr">
        <is>
          <t>Khi</t>
        </is>
      </c>
      <c r="D95" s="75" t="inlineStr">
        <is>
          <t>BW1</t>
        </is>
      </c>
      <c r="E95" s="75" t="inlineStr">
        <is>
          <t>solar_csp</t>
        </is>
      </c>
      <c r="F95" s="35" t="n">
        <v>50</v>
      </c>
      <c r="G95" s="35" t="n">
        <v>3554</v>
      </c>
      <c r="H95" s="35" t="n">
        <v>0</v>
      </c>
      <c r="I95" s="35" t="inlineStr">
        <is>
          <t>-</t>
        </is>
      </c>
      <c r="J95" s="35" t="inlineStr">
        <is>
          <t>-</t>
        </is>
      </c>
      <c r="K95" s="35" t="inlineStr">
        <is>
          <t>-</t>
        </is>
      </c>
      <c r="L95" s="35" t="n">
        <v>6</v>
      </c>
      <c r="M95" s="35" t="n">
        <v>2015</v>
      </c>
      <c r="N95" s="35" t="n">
        <v>2045</v>
      </c>
      <c r="O95" s="35" t="n">
        <v>-28.5364</v>
      </c>
      <c r="P95" s="35" t="n">
        <v>21.0782</v>
      </c>
    </row>
    <row r="96">
      <c r="A96" s="73" t="inlineStr">
        <is>
          <t>BASE</t>
        </is>
      </c>
      <c r="B96" s="74" t="inlineStr">
        <is>
          <t>Bokpoort CSP project</t>
        </is>
      </c>
      <c r="C96" s="74" t="inlineStr">
        <is>
          <t>Bokpoort</t>
        </is>
      </c>
      <c r="D96" s="74" t="inlineStr">
        <is>
          <t>BW2</t>
        </is>
      </c>
      <c r="E96" s="74" t="inlineStr">
        <is>
          <t>solar_csp</t>
        </is>
      </c>
      <c r="F96" s="19" t="n">
        <v>50</v>
      </c>
      <c r="G96" s="19" t="n">
        <v>3324</v>
      </c>
      <c r="H96" s="19" t="n">
        <v>0</v>
      </c>
      <c r="I96" s="19" t="inlineStr">
        <is>
          <t>-</t>
        </is>
      </c>
      <c r="J96" s="19" t="inlineStr">
        <is>
          <t>-</t>
        </is>
      </c>
      <c r="K96" s="19" t="inlineStr">
        <is>
          <t>-</t>
        </is>
      </c>
      <c r="L96" s="19" t="n">
        <v>9</v>
      </c>
      <c r="M96" s="19" t="n">
        <v>2016</v>
      </c>
      <c r="N96" s="19" t="n">
        <v>2046</v>
      </c>
      <c r="O96" s="19" t="n">
        <v>-28.7333</v>
      </c>
      <c r="P96" s="19" t="n">
        <v>21.9955</v>
      </c>
    </row>
    <row r="97">
      <c r="A97" s="73" t="inlineStr">
        <is>
          <t>BASE</t>
        </is>
      </c>
      <c r="B97" s="75" t="inlineStr">
        <is>
          <t>!XiNa Solar One</t>
        </is>
      </c>
      <c r="C97" s="75" t="inlineStr">
        <is>
          <t>!XiNa</t>
        </is>
      </c>
      <c r="D97" s="75" t="inlineStr">
        <is>
          <t>BW3</t>
        </is>
      </c>
      <c r="E97" s="75" t="inlineStr">
        <is>
          <t>solar_csp</t>
        </is>
      </c>
      <c r="F97" s="35" t="n">
        <v>100</v>
      </c>
      <c r="G97" s="35" t="n">
        <v>3114</v>
      </c>
      <c r="H97" s="35" t="n">
        <v>0</v>
      </c>
      <c r="I97" s="35" t="inlineStr">
        <is>
          <t>-</t>
        </is>
      </c>
      <c r="J97" s="35" t="inlineStr">
        <is>
          <t>-</t>
        </is>
      </c>
      <c r="K97" s="35" t="inlineStr">
        <is>
          <t>-</t>
        </is>
      </c>
      <c r="L97" s="35" t="n">
        <v>6</v>
      </c>
      <c r="M97" s="35" t="n">
        <v>2017</v>
      </c>
      <c r="N97" s="35" t="n">
        <v>2047</v>
      </c>
      <c r="O97" s="35" t="n">
        <v>-28.8906</v>
      </c>
      <c r="P97" s="35" t="n">
        <v>19.5918</v>
      </c>
    </row>
    <row r="98">
      <c r="A98" s="73" t="inlineStr">
        <is>
          <t>BASE</t>
        </is>
      </c>
      <c r="B98" s="74" t="inlineStr">
        <is>
          <t>Karoshoek Solar One</t>
        </is>
      </c>
      <c r="C98" s="74" t="inlineStr">
        <is>
          <t>Karoshoek</t>
        </is>
      </c>
      <c r="D98" s="74" t="inlineStr">
        <is>
          <t>BW3</t>
        </is>
      </c>
      <c r="E98" s="74" t="inlineStr">
        <is>
          <t>solar_csp</t>
        </is>
      </c>
      <c r="F98" s="19" t="n">
        <v>100</v>
      </c>
      <c r="G98" s="19" t="n">
        <v>3114</v>
      </c>
      <c r="H98" s="19" t="n">
        <v>0</v>
      </c>
      <c r="I98" s="19" t="inlineStr">
        <is>
          <t>-</t>
        </is>
      </c>
      <c r="J98" s="19" t="inlineStr">
        <is>
          <t>-</t>
        </is>
      </c>
      <c r="K98" s="19" t="inlineStr">
        <is>
          <t>-</t>
        </is>
      </c>
      <c r="L98" s="19" t="n">
        <v>6</v>
      </c>
      <c r="M98" s="19" t="n">
        <v>2019</v>
      </c>
      <c r="N98" s="19" t="n">
        <v>2049</v>
      </c>
      <c r="O98" s="19" t="n">
        <v>-28.4819</v>
      </c>
      <c r="P98" s="19" t="n">
        <v>21.5204</v>
      </c>
    </row>
    <row r="99">
      <c r="A99" s="73" t="inlineStr">
        <is>
          <t>BASE</t>
        </is>
      </c>
      <c r="B99" s="75" t="inlineStr">
        <is>
          <t>Kathu Solar Park</t>
        </is>
      </c>
      <c r="C99" s="75" t="inlineStr">
        <is>
          <t>Kathu</t>
        </is>
      </c>
      <c r="D99" s="75" t="inlineStr">
        <is>
          <t>BW3.5</t>
        </is>
      </c>
      <c r="E99" s="75" t="inlineStr">
        <is>
          <t>solar_csp</t>
        </is>
      </c>
      <c r="F99" s="35" t="n">
        <v>100</v>
      </c>
      <c r="G99" s="35" t="n">
        <v>2902</v>
      </c>
      <c r="H99" s="35" t="n">
        <v>0</v>
      </c>
      <c r="I99" s="35" t="inlineStr">
        <is>
          <t>-</t>
        </is>
      </c>
      <c r="J99" s="35" t="inlineStr">
        <is>
          <t>-</t>
        </is>
      </c>
      <c r="K99" s="35" t="inlineStr">
        <is>
          <t>-</t>
        </is>
      </c>
      <c r="L99" s="35" t="n">
        <v>6</v>
      </c>
      <c r="M99" s="35" t="n">
        <v>2019</v>
      </c>
      <c r="N99" s="35" t="n">
        <v>2049</v>
      </c>
      <c r="O99" s="35" t="n">
        <v>-27.6095</v>
      </c>
      <c r="P99" s="35" t="n">
        <v>23.0276</v>
      </c>
    </row>
    <row r="100">
      <c r="A100" s="73" t="inlineStr">
        <is>
          <t>BASE</t>
        </is>
      </c>
      <c r="B100" s="74" t="inlineStr">
        <is>
          <t>Redstone Solar Thermal Power Plant</t>
        </is>
      </c>
      <c r="C100" s="74" t="inlineStr">
        <is>
          <t>Redstone</t>
        </is>
      </c>
      <c r="D100" s="74" t="inlineStr">
        <is>
          <t>BW3.5</t>
        </is>
      </c>
      <c r="E100" s="74" t="inlineStr">
        <is>
          <t>solar_csp</t>
        </is>
      </c>
      <c r="F100" s="19" t="n">
        <v>100</v>
      </c>
      <c r="G100" s="19" t="n">
        <v>2902</v>
      </c>
      <c r="H100" s="19" t="n">
        <v>0</v>
      </c>
      <c r="I100" s="19" t="inlineStr">
        <is>
          <t>-</t>
        </is>
      </c>
      <c r="J100" s="19" t="inlineStr">
        <is>
          <t>-</t>
        </is>
      </c>
      <c r="K100" s="19" t="inlineStr">
        <is>
          <t>-</t>
        </is>
      </c>
      <c r="L100" s="19" t="n">
        <v>9</v>
      </c>
      <c r="M100" s="19" t="n">
        <v>2024</v>
      </c>
      <c r="N100" s="19" t="inlineStr">
        <is>
          <t>post</t>
        </is>
      </c>
      <c r="O100" s="19" t="n">
        <v>-28.3095221110232</v>
      </c>
      <c r="P100" s="19" t="n">
        <v>23.1040633712854</v>
      </c>
    </row>
    <row r="101">
      <c r="A101" s="73" t="inlineStr">
        <is>
          <t>BASE</t>
        </is>
      </c>
      <c r="B101" s="75" t="inlineStr">
        <is>
          <t>Neusberg Hydro Electrical Project</t>
        </is>
      </c>
      <c r="C101" s="75" t="inlineStr">
        <is>
          <t>Neusberg</t>
        </is>
      </c>
      <c r="D101" s="75" t="inlineStr">
        <is>
          <t>IPP</t>
        </is>
      </c>
      <c r="E101" s="75" t="inlineStr">
        <is>
          <t>hydro</t>
        </is>
      </c>
      <c r="F101" s="35" t="n">
        <v>10</v>
      </c>
      <c r="G101" s="35" t="n">
        <v>1363</v>
      </c>
      <c r="H101" s="35" t="n">
        <v>0</v>
      </c>
      <c r="I101" s="35" t="inlineStr">
        <is>
          <t>-</t>
        </is>
      </c>
      <c r="J101" s="35" t="inlineStr">
        <is>
          <t>-</t>
        </is>
      </c>
      <c r="K101" s="35" t="inlineStr">
        <is>
          <t>-</t>
        </is>
      </c>
      <c r="L101" s="35" t="inlineStr">
        <is>
          <t>-</t>
        </is>
      </c>
      <c r="M101" s="35" t="n">
        <v>2020</v>
      </c>
      <c r="N101" s="35" t="inlineStr">
        <is>
          <t>post</t>
        </is>
      </c>
      <c r="O101" s="35" t="n">
        <v>-28.7526965922516</v>
      </c>
      <c r="P101" s="35" t="n">
        <v>20.5335002983643</v>
      </c>
    </row>
    <row r="102">
      <c r="A102" s="73" t="inlineStr">
        <is>
          <t>BASE</t>
        </is>
      </c>
      <c r="B102" s="74" t="inlineStr">
        <is>
          <t>Stortemelk Hydro</t>
        </is>
      </c>
      <c r="C102" s="74" t="inlineStr">
        <is>
          <t>Stortemelk</t>
        </is>
      </c>
      <c r="D102" s="74" t="inlineStr">
        <is>
          <t>IPP</t>
        </is>
      </c>
      <c r="E102" s="74" t="inlineStr">
        <is>
          <t>hydro</t>
        </is>
      </c>
      <c r="F102" s="19" t="n">
        <v>4.22</v>
      </c>
      <c r="G102" s="19" t="n">
        <v>1363</v>
      </c>
      <c r="H102" s="19" t="n">
        <v>0</v>
      </c>
      <c r="I102" s="19" t="inlineStr">
        <is>
          <t>-</t>
        </is>
      </c>
      <c r="J102" s="19" t="inlineStr">
        <is>
          <t>-</t>
        </is>
      </c>
      <c r="K102" s="19" t="inlineStr">
        <is>
          <t>-</t>
        </is>
      </c>
      <c r="L102" s="19" t="inlineStr">
        <is>
          <t>-</t>
        </is>
      </c>
      <c r="M102" s="19" t="n">
        <v>2020</v>
      </c>
      <c r="N102" s="19" t="inlineStr">
        <is>
          <t>post</t>
        </is>
      </c>
      <c r="O102" s="19" t="n">
        <v>-28.5141541489407</v>
      </c>
      <c r="P102" s="19" t="n">
        <v>28.4101438223705</v>
      </c>
    </row>
    <row r="103">
      <c r="A103" s="73" t="inlineStr">
        <is>
          <t>BASE</t>
        </is>
      </c>
      <c r="B103" s="75" t="inlineStr">
        <is>
          <t>Kruisvallei Hydro</t>
        </is>
      </c>
      <c r="C103" s="75" t="inlineStr">
        <is>
          <t>Kruisvallei</t>
        </is>
      </c>
      <c r="D103" s="75" t="inlineStr">
        <is>
          <t>IPP</t>
        </is>
      </c>
      <c r="E103" s="75" t="inlineStr">
        <is>
          <t>hydro</t>
        </is>
      </c>
      <c r="F103" s="35" t="n">
        <v>3.8</v>
      </c>
      <c r="G103" s="35" t="n">
        <v>1240</v>
      </c>
      <c r="H103" s="35" t="n">
        <v>0</v>
      </c>
      <c r="I103" s="35" t="inlineStr">
        <is>
          <t>-</t>
        </is>
      </c>
      <c r="J103" s="35" t="inlineStr">
        <is>
          <t>-</t>
        </is>
      </c>
      <c r="K103" s="35" t="inlineStr">
        <is>
          <t>-</t>
        </is>
      </c>
      <c r="L103" s="35" t="inlineStr">
        <is>
          <t>-</t>
        </is>
      </c>
      <c r="M103" s="35" t="n">
        <v>2020</v>
      </c>
      <c r="N103" s="35" t="inlineStr">
        <is>
          <t>post</t>
        </is>
      </c>
      <c r="O103" s="35" t="n">
        <v>-28.2425030696516</v>
      </c>
      <c r="P103" s="35" t="n">
        <v>28.3076832839413</v>
      </c>
    </row>
    <row r="104">
      <c r="A104" s="73" t="inlineStr">
        <is>
          <t>BASE</t>
        </is>
      </c>
      <c r="B104" s="74" t="inlineStr">
        <is>
          <t>ColleyWobbles</t>
        </is>
      </c>
      <c r="C104" s="74" t="inlineStr">
        <is>
          <t>ColleyWobbles</t>
        </is>
      </c>
      <c r="D104" s="74" t="inlineStr">
        <is>
          <t>IPP</t>
        </is>
      </c>
      <c r="E104" s="74" t="inlineStr">
        <is>
          <t>hydro</t>
        </is>
      </c>
      <c r="F104" s="19" t="n">
        <v>65</v>
      </c>
      <c r="G104" s="19" t="n">
        <v>300</v>
      </c>
      <c r="H104" s="19" t="n">
        <v>0</v>
      </c>
      <c r="I104" s="19" t="inlineStr">
        <is>
          <t>-</t>
        </is>
      </c>
      <c r="J104" s="19" t="inlineStr">
        <is>
          <t>-</t>
        </is>
      </c>
      <c r="K104" s="19" t="inlineStr">
        <is>
          <t>-</t>
        </is>
      </c>
      <c r="L104" s="19" t="inlineStr">
        <is>
          <t>-</t>
        </is>
      </c>
      <c r="M104" s="19" t="n">
        <v>2020</v>
      </c>
      <c r="N104" s="19" t="inlineStr">
        <is>
          <t>post</t>
        </is>
      </c>
      <c r="O104" s="19" t="n">
        <v>-32.05</v>
      </c>
      <c r="P104" s="19" t="n">
        <v>28.58333</v>
      </c>
    </row>
    <row r="105">
      <c r="A105" s="73" t="inlineStr">
        <is>
          <t>BASE</t>
        </is>
      </c>
      <c r="B105" s="75" t="inlineStr">
        <is>
          <t>CahoraBassa</t>
        </is>
      </c>
      <c r="C105" s="75" t="inlineStr">
        <is>
          <t>CahoraBassa</t>
        </is>
      </c>
      <c r="D105" s="75" t="inlineStr">
        <is>
          <t>CahoraBassa</t>
        </is>
      </c>
      <c r="E105" s="75" t="inlineStr">
        <is>
          <t>hydro_import</t>
        </is>
      </c>
      <c r="F105" s="35" t="n">
        <v>1764</v>
      </c>
      <c r="G105" s="35" t="n">
        <v>300</v>
      </c>
      <c r="H105" s="35" t="n">
        <v>0</v>
      </c>
      <c r="I105" s="35" t="inlineStr">
        <is>
          <t>-</t>
        </is>
      </c>
      <c r="J105" s="35" t="inlineStr">
        <is>
          <t>-</t>
        </is>
      </c>
      <c r="K105" s="35" t="inlineStr">
        <is>
          <t>-</t>
        </is>
      </c>
      <c r="L105" s="35" t="inlineStr">
        <is>
          <t>-</t>
        </is>
      </c>
      <c r="M105" s="35" t="n">
        <v>2020</v>
      </c>
      <c r="N105" s="35" t="inlineStr">
        <is>
          <t>post</t>
        </is>
      </c>
      <c r="O105" s="35" t="n">
        <v>-25.91988</v>
      </c>
      <c r="P105" s="35" t="n">
        <v>28.27627</v>
      </c>
    </row>
    <row r="106">
      <c r="A106" s="73" t="inlineStr">
        <is>
          <t>BASE</t>
        </is>
      </c>
      <c r="B106" s="74" t="inlineStr">
        <is>
          <t>ENERGY Joburg Landfill Gas to Electircity Project</t>
        </is>
      </c>
      <c r="C106" s="74" t="inlineStr">
        <is>
          <t>Jhb_landfill</t>
        </is>
      </c>
      <c r="D106" s="74" t="inlineStr">
        <is>
          <t>IPP</t>
        </is>
      </c>
      <c r="E106" s="74" t="inlineStr">
        <is>
          <t>bioenergy</t>
        </is>
      </c>
      <c r="F106" s="19" t="n">
        <v>7.56</v>
      </c>
      <c r="G106" s="19" t="n">
        <v>1109</v>
      </c>
      <c r="H106" s="19" t="n">
        <v>0</v>
      </c>
      <c r="I106" s="19" t="inlineStr">
        <is>
          <t>-</t>
        </is>
      </c>
      <c r="J106" s="19" t="inlineStr">
        <is>
          <t>-</t>
        </is>
      </c>
      <c r="K106" s="19" t="inlineStr">
        <is>
          <t>-</t>
        </is>
      </c>
      <c r="L106" s="19" t="inlineStr">
        <is>
          <t>-</t>
        </is>
      </c>
      <c r="M106" s="19" t="n">
        <v>2020</v>
      </c>
      <c r="N106" s="19" t="n">
        <v>2049</v>
      </c>
      <c r="O106" s="19" t="n">
        <v>-26.1949542428945</v>
      </c>
      <c r="P106" s="19" t="n">
        <v>28.0325284000202</v>
      </c>
    </row>
    <row r="107">
      <c r="A107" s="73" t="inlineStr">
        <is>
          <t>BASE</t>
        </is>
      </c>
      <c r="B107" s="75" t="inlineStr">
        <is>
          <t>Mkuze</t>
        </is>
      </c>
      <c r="C107" s="75" t="inlineStr">
        <is>
          <t>Mkuze</t>
        </is>
      </c>
      <c r="D107" s="75" t="inlineStr">
        <is>
          <t>IPP</t>
        </is>
      </c>
      <c r="E107" s="75" t="inlineStr">
        <is>
          <t>bioenergy</t>
        </is>
      </c>
      <c r="F107" s="35" t="n">
        <v>16.5</v>
      </c>
      <c r="G107" s="35" t="n">
        <v>1500</v>
      </c>
      <c r="H107" s="35" t="n">
        <v>0</v>
      </c>
      <c r="I107" s="35" t="inlineStr">
        <is>
          <t>-</t>
        </is>
      </c>
      <c r="J107" s="35" t="inlineStr">
        <is>
          <t>-</t>
        </is>
      </c>
      <c r="K107" s="35" t="inlineStr">
        <is>
          <t>-</t>
        </is>
      </c>
      <c r="L107" s="35" t="inlineStr">
        <is>
          <t>-</t>
        </is>
      </c>
      <c r="M107" s="35" t="n">
        <v>2030</v>
      </c>
      <c r="N107" s="19" t="inlineStr">
        <is>
          <t>post</t>
        </is>
      </c>
      <c r="O107" s="35" t="n">
        <v>-27.618037149128</v>
      </c>
      <c r="P107" s="35" t="n">
        <v>32.0345129341963</v>
      </c>
    </row>
    <row r="108">
      <c r="A108" s="73" t="inlineStr">
        <is>
          <t>BASE</t>
        </is>
      </c>
      <c r="B108" s="74" t="inlineStr">
        <is>
          <t>Ngodwana Energy</t>
        </is>
      </c>
      <c r="C108" s="74" t="inlineStr">
        <is>
          <t>Ngodwana</t>
        </is>
      </c>
      <c r="D108" s="74" t="inlineStr">
        <is>
          <t>IPP</t>
        </is>
      </c>
      <c r="E108" s="74" t="inlineStr">
        <is>
          <t>bioenergy</t>
        </is>
      </c>
      <c r="F108" s="19" t="n">
        <v>25</v>
      </c>
      <c r="G108" s="19" t="n">
        <v>1500</v>
      </c>
      <c r="H108" s="19" t="n">
        <v>0</v>
      </c>
      <c r="I108" s="19" t="inlineStr">
        <is>
          <t>-</t>
        </is>
      </c>
      <c r="J108" s="19" t="inlineStr">
        <is>
          <t>-</t>
        </is>
      </c>
      <c r="K108" s="19" t="inlineStr">
        <is>
          <t>-</t>
        </is>
      </c>
      <c r="L108" s="19" t="inlineStr">
        <is>
          <t>-</t>
        </is>
      </c>
      <c r="M108" s="19" t="n">
        <v>2020</v>
      </c>
      <c r="N108" s="35" t="inlineStr">
        <is>
          <t>post</t>
        </is>
      </c>
      <c r="O108" s="19" t="n">
        <v>-25.4808983658985</v>
      </c>
      <c r="P108" s="19" t="n">
        <v>30.9743048364687</v>
      </c>
    </row>
    <row r="109">
      <c r="A109" s="73" t="inlineStr">
        <is>
          <t>BASE</t>
        </is>
      </c>
      <c r="B109" s="75" t="inlineStr">
        <is>
          <t>Mondi</t>
        </is>
      </c>
      <c r="C109" s="75" t="inlineStr">
        <is>
          <t>Mondi</t>
        </is>
      </c>
      <c r="D109" s="75" t="inlineStr">
        <is>
          <t>IPP</t>
        </is>
      </c>
      <c r="E109" s="75" t="inlineStr">
        <is>
          <t>bioenergy</t>
        </is>
      </c>
      <c r="F109" s="35" t="n">
        <v>120</v>
      </c>
      <c r="G109" s="35" t="n">
        <v>500</v>
      </c>
      <c r="H109" s="35" t="n">
        <v>0</v>
      </c>
      <c r="I109" s="35" t="inlineStr">
        <is>
          <t>-</t>
        </is>
      </c>
      <c r="J109" s="35" t="inlineStr">
        <is>
          <t>-</t>
        </is>
      </c>
      <c r="K109" s="35" t="inlineStr">
        <is>
          <t>-</t>
        </is>
      </c>
      <c r="L109" s="35" t="inlineStr">
        <is>
          <t>-</t>
        </is>
      </c>
      <c r="M109" s="35" t="n">
        <v>2020</v>
      </c>
      <c r="N109" s="19" t="inlineStr">
        <is>
          <t>post</t>
        </is>
      </c>
      <c r="O109" s="35" t="n"/>
      <c r="P109" s="35" t="n"/>
    </row>
    <row r="110">
      <c r="A110" s="76" t="inlineStr">
        <is>
          <t>BASE</t>
        </is>
      </c>
      <c r="B110" s="77" t="inlineStr">
        <is>
          <t>Sappi</t>
        </is>
      </c>
      <c r="C110" s="77" t="inlineStr">
        <is>
          <t>Sappi</t>
        </is>
      </c>
      <c r="D110" s="77" t="inlineStr">
        <is>
          <t>IPP</t>
        </is>
      </c>
      <c r="E110" s="77" t="inlineStr">
        <is>
          <t>bioenergy</t>
        </is>
      </c>
      <c r="F110" s="60" t="n">
        <v>144</v>
      </c>
      <c r="G110" s="60" t="n">
        <v>500</v>
      </c>
      <c r="H110" s="60" t="n">
        <v>0</v>
      </c>
      <c r="I110" s="60" t="inlineStr">
        <is>
          <t>-</t>
        </is>
      </c>
      <c r="J110" s="60" t="inlineStr">
        <is>
          <t>-</t>
        </is>
      </c>
      <c r="K110" s="60" t="inlineStr">
        <is>
          <t>-</t>
        </is>
      </c>
      <c r="L110" s="60" t="inlineStr">
        <is>
          <t>-</t>
        </is>
      </c>
      <c r="M110" s="60" t="n">
        <v>2020</v>
      </c>
      <c r="N110" s="57" t="inlineStr">
        <is>
          <t>post</t>
        </is>
      </c>
      <c r="O110" s="60" t="n">
        <v>-25.3447</v>
      </c>
      <c r="P110" s="60" t="n">
        <v>30.394</v>
      </c>
    </row>
  </sheetData>
  <autoFilter ref="A1:E152"/>
  <conditionalFormatting sqref="A2:A152">
    <cfRule type="containsText" priority="2" operator="containsText" dxfId="0" text="ignore">
      <formula>NOT(ISERROR(SEARCH("ignore",A2)))</formula>
    </cfRule>
  </conditionalFormatting>
  <pageMargins left="0.7" right="0.7" top="0.75" bottom="0.75" header="0.5118110236220469" footer="0.5118110236220469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tabSelected="1" workbookViewId="0">
      <selection activeCell="E3" sqref="E3"/>
    </sheetView>
  </sheetViews>
  <sheetFormatPr baseColWidth="10" defaultColWidth="8.7109375" defaultRowHeight="15"/>
  <cols>
    <col width="32.28515625" customWidth="1" min="1" max="1"/>
    <col width="21.140625" customWidth="1" style="1" min="2" max="2"/>
    <col width="18" customWidth="1" style="1" min="3" max="3"/>
    <col width="10.140625" customWidth="1" style="1" min="4" max="4"/>
    <col width="15.140625" customWidth="1" style="2" min="5" max="5"/>
    <col width="15.28515625" customWidth="1" style="2" min="6" max="6"/>
    <col width="16.85546875" customWidth="1" style="2" min="7" max="7"/>
    <col width="13" customWidth="1" style="2" min="8" max="8"/>
    <col width="14" customWidth="1" style="2" min="9" max="9"/>
    <col width="11.28515625" customWidth="1" style="2" min="10" max="10"/>
    <col width="16.7109375" customWidth="1" style="2" min="11" max="11"/>
    <col width="15.42578125" customWidth="1" style="2" min="12" max="12"/>
    <col width="9.7109375" customWidth="1" style="2" min="13" max="13"/>
    <col width="9" customWidth="1" style="2" min="14" max="14"/>
  </cols>
  <sheetData>
    <row r="1" ht="45" customHeight="1">
      <c r="A1" s="79" t="inlineStr">
        <is>
          <t>scenario</t>
        </is>
      </c>
      <c r="B1" s="79" t="inlineStr">
        <is>
          <t>station_name</t>
        </is>
      </c>
      <c r="C1" s="79" t="inlineStr">
        <is>
          <t>grouping</t>
        </is>
      </c>
      <c r="D1" s="79" t="inlineStr">
        <is>
          <t>carrier</t>
        </is>
      </c>
      <c r="E1" s="80" t="inlineStr">
        <is>
          <t>capacity (MW)</t>
        </is>
      </c>
      <c r="F1" s="80" t="inlineStr">
        <is>
          <t>commissioning_date</t>
        </is>
      </c>
      <c r="G1" s="80" t="inlineStr">
        <is>
          <t>decommissioning_date</t>
        </is>
      </c>
      <c r="H1" s="80" t="inlineStr">
        <is>
          <t>variable_om_cost (R/MWh)</t>
        </is>
      </c>
      <c r="I1" s="80" t="inlineStr">
        <is>
          <t>fixed_om_cost (R/kW/yr)</t>
        </is>
      </c>
      <c r="J1" s="80" t="inlineStr">
        <is>
          <t>round_trip_efficiency (%)</t>
        </is>
      </c>
      <c r="K1" s="80" t="inlineStr">
        <is>
          <t>storage_energy (GWh)</t>
        </is>
      </c>
      <c r="L1" s="80" t="inlineStr">
        <is>
          <t>storage_hours</t>
        </is>
      </c>
      <c r="M1" s="80" t="inlineStr">
        <is>
          <t>gps_lat</t>
        </is>
      </c>
      <c r="N1" s="80" t="inlineStr">
        <is>
          <t>gps_lon</t>
        </is>
      </c>
    </row>
    <row r="2">
      <c r="A2" s="81" t="inlineStr">
        <is>
          <t>BASE</t>
        </is>
      </c>
      <c r="B2" s="28" t="inlineStr">
        <is>
          <t>Drakensberg</t>
        </is>
      </c>
      <c r="C2" s="28" t="inlineStr">
        <is>
          <t>eskom</t>
        </is>
      </c>
      <c r="D2" s="29" t="inlineStr">
        <is>
          <t>phs</t>
        </is>
      </c>
      <c r="E2" s="19" t="n">
        <v>1000</v>
      </c>
      <c r="F2" s="19" t="inlineStr">
        <is>
          <t>pre</t>
        </is>
      </c>
      <c r="G2" s="19" t="inlineStr">
        <is>
          <t>post</t>
        </is>
      </c>
      <c r="H2" s="19" t="n">
        <v>0.0001</v>
      </c>
      <c r="I2" s="19" t="n">
        <v>222</v>
      </c>
      <c r="J2" s="82" t="n">
        <v>0.737</v>
      </c>
      <c r="K2" s="19" t="n">
        <v>21.7</v>
      </c>
      <c r="L2" s="83">
        <f>K2/E2*1000</f>
        <v/>
      </c>
      <c r="M2" s="96" t="n">
        <v>-28.56283</v>
      </c>
      <c r="N2" s="96" t="n">
        <v>29.08275</v>
      </c>
    </row>
    <row r="3">
      <c r="A3" s="81">
        <f>A2</f>
        <v/>
      </c>
      <c r="B3" s="33" t="inlineStr">
        <is>
          <t>Ingula</t>
        </is>
      </c>
      <c r="C3" s="33" t="inlineStr">
        <is>
          <t>eskom</t>
        </is>
      </c>
      <c r="D3" s="33" t="inlineStr">
        <is>
          <t>phs</t>
        </is>
      </c>
      <c r="E3" s="55" t="n">
        <v>1324</v>
      </c>
      <c r="F3" s="55" t="inlineStr">
        <is>
          <t>pre</t>
        </is>
      </c>
      <c r="G3" s="55" t="inlineStr">
        <is>
          <t>post</t>
        </is>
      </c>
      <c r="H3" s="55" t="n">
        <v>0.0002</v>
      </c>
      <c r="I3" s="55" t="n">
        <v>2796</v>
      </c>
      <c r="J3" s="84" t="n">
        <v>0.78</v>
      </c>
      <c r="K3" s="55" t="n">
        <v>27.4</v>
      </c>
      <c r="L3" s="85">
        <f>K3/E3*1000</f>
        <v/>
      </c>
      <c r="M3" s="55" t="n">
        <v>-28.165</v>
      </c>
      <c r="N3" s="55" t="n">
        <v>29.3512</v>
      </c>
    </row>
    <row r="4">
      <c r="A4" s="81">
        <f>A3</f>
        <v/>
      </c>
      <c r="B4" s="28" t="inlineStr">
        <is>
          <t>Palmiet</t>
        </is>
      </c>
      <c r="C4" s="28" t="inlineStr">
        <is>
          <t>eskom</t>
        </is>
      </c>
      <c r="D4" s="28" t="inlineStr">
        <is>
          <t>phs</t>
        </is>
      </c>
      <c r="E4" s="54" t="n">
        <v>400</v>
      </c>
      <c r="F4" s="54" t="inlineStr">
        <is>
          <t>pre</t>
        </is>
      </c>
      <c r="G4" s="54" t="inlineStr">
        <is>
          <t>post</t>
        </is>
      </c>
      <c r="H4" s="54" t="n">
        <v>0.0003</v>
      </c>
      <c r="I4" s="54" t="n">
        <v>222</v>
      </c>
      <c r="J4" s="86" t="n">
        <v>0.779</v>
      </c>
      <c r="K4" s="54" t="n">
        <v>10</v>
      </c>
      <c r="L4" s="54">
        <f>K4/E4*1000</f>
        <v/>
      </c>
      <c r="M4" s="54" t="n">
        <v>-34.19722</v>
      </c>
      <c r="N4" s="54" t="n">
        <v>18.97361</v>
      </c>
    </row>
    <row r="5">
      <c r="A5" s="81">
        <f>A4</f>
        <v/>
      </c>
      <c r="B5" s="33" t="inlineStr">
        <is>
          <t>Steenbras</t>
        </is>
      </c>
      <c r="C5" s="33" t="inlineStr">
        <is>
          <t>CoCT</t>
        </is>
      </c>
      <c r="D5" s="33" t="inlineStr">
        <is>
          <t>phs</t>
        </is>
      </c>
      <c r="E5" s="55" t="n">
        <v>180</v>
      </c>
      <c r="F5" s="55" t="inlineStr">
        <is>
          <t>pre</t>
        </is>
      </c>
      <c r="G5" s="55" t="inlineStr">
        <is>
          <t>post</t>
        </is>
      </c>
      <c r="H5" s="55" t="n">
        <v>0.0004</v>
      </c>
      <c r="I5" s="55" t="n">
        <v>222</v>
      </c>
      <c r="J5" s="84" t="n">
        <v>0.72</v>
      </c>
      <c r="K5" s="55" t="n">
        <v>2.7</v>
      </c>
      <c r="L5" s="55">
        <f>K5/E5*1000</f>
        <v/>
      </c>
      <c r="M5" s="55" t="n">
        <v>-34.153</v>
      </c>
      <c r="N5" s="87" t="n">
        <v>18.9</v>
      </c>
    </row>
    <row r="6">
      <c r="A6" s="81">
        <f>A5</f>
        <v/>
      </c>
      <c r="B6" s="28" t="inlineStr">
        <is>
          <t>Aggeneis</t>
        </is>
      </c>
      <c r="C6" s="28" t="inlineStr">
        <is>
          <t>BW1</t>
        </is>
      </c>
      <c r="D6" s="28" t="inlineStr">
        <is>
          <t>battery_4h</t>
        </is>
      </c>
      <c r="E6" s="54" t="n">
        <v>77</v>
      </c>
      <c r="F6" s="54" t="n">
        <v>2025</v>
      </c>
      <c r="G6" s="54">
        <f>F6+15</f>
        <v/>
      </c>
      <c r="H6" s="54" t="n">
        <v>0</v>
      </c>
      <c r="I6" s="54" t="n">
        <v>855</v>
      </c>
      <c r="J6" s="86" t="n">
        <v>0.89</v>
      </c>
      <c r="K6" s="54">
        <f>L6*E6/1000</f>
        <v/>
      </c>
      <c r="L6" s="54" t="n">
        <v>4</v>
      </c>
      <c r="M6" s="54" t="n">
        <v>-29.3</v>
      </c>
      <c r="N6" s="88" t="n">
        <v>18.8</v>
      </c>
    </row>
    <row r="7">
      <c r="A7" s="81">
        <f>A6</f>
        <v/>
      </c>
      <c r="B7" s="33" t="inlineStr">
        <is>
          <t>Ferrum</t>
        </is>
      </c>
      <c r="C7" s="33" t="inlineStr">
        <is>
          <t>BW1</t>
        </is>
      </c>
      <c r="D7" s="33" t="inlineStr">
        <is>
          <t>battery_4h</t>
        </is>
      </c>
      <c r="E7" s="55" t="n">
        <v>103</v>
      </c>
      <c r="F7" s="55" t="n">
        <v>2025</v>
      </c>
      <c r="G7" s="55">
        <f>F7+15</f>
        <v/>
      </c>
      <c r="H7" s="55" t="n">
        <v>0</v>
      </c>
      <c r="I7" s="55" t="n">
        <v>855</v>
      </c>
      <c r="J7" s="84" t="n">
        <v>0.89</v>
      </c>
      <c r="K7" s="55">
        <f>L7*E7/1000</f>
        <v/>
      </c>
      <c r="L7" s="55" t="n">
        <v>4</v>
      </c>
      <c r="M7" s="55" t="n">
        <v>-27.73</v>
      </c>
      <c r="N7" s="87" t="n">
        <v>23.06</v>
      </c>
    </row>
    <row r="8">
      <c r="A8" s="81">
        <f>A7</f>
        <v/>
      </c>
      <c r="B8" s="28" t="inlineStr">
        <is>
          <t>Mookodi</t>
        </is>
      </c>
      <c r="C8" s="28" t="inlineStr">
        <is>
          <t>BW1</t>
        </is>
      </c>
      <c r="D8" s="28" t="inlineStr">
        <is>
          <t>battery_4h</t>
        </is>
      </c>
      <c r="E8" s="54" t="n">
        <v>77</v>
      </c>
      <c r="F8" s="54" t="n">
        <v>2025</v>
      </c>
      <c r="G8" s="54">
        <f>F8+15</f>
        <v/>
      </c>
      <c r="H8" s="54" t="n">
        <v>0</v>
      </c>
      <c r="I8" s="54" t="n">
        <v>855</v>
      </c>
      <c r="J8" s="86" t="n">
        <v>0.89</v>
      </c>
      <c r="K8" s="54">
        <f>L8*E8/1000</f>
        <v/>
      </c>
      <c r="L8" s="54" t="n">
        <v>4</v>
      </c>
      <c r="M8" s="54" t="n">
        <v>-27.01</v>
      </c>
      <c r="N8" s="88" t="n">
        <v>24.74</v>
      </c>
    </row>
    <row r="9">
      <c r="A9" s="81">
        <f>A8</f>
        <v/>
      </c>
      <c r="B9" s="33" t="inlineStr">
        <is>
          <t>Nieuwehoop</t>
        </is>
      </c>
      <c r="C9" s="33" t="inlineStr">
        <is>
          <t>BW1</t>
        </is>
      </c>
      <c r="D9" s="33" t="inlineStr">
        <is>
          <t>battery_4h</t>
        </is>
      </c>
      <c r="E9" s="55" t="n">
        <v>103</v>
      </c>
      <c r="F9" s="55" t="n">
        <v>2025</v>
      </c>
      <c r="G9" s="55">
        <f>F9+15</f>
        <v/>
      </c>
      <c r="H9" s="55" t="n">
        <v>0</v>
      </c>
      <c r="I9" s="55" t="n">
        <v>855</v>
      </c>
      <c r="J9" s="84" t="n">
        <v>0.89</v>
      </c>
      <c r="K9" s="55">
        <f>L9*E9/1000</f>
        <v/>
      </c>
      <c r="L9" s="55" t="n">
        <v>4</v>
      </c>
      <c r="M9" s="55" t="n">
        <v>-29.15</v>
      </c>
      <c r="N9" s="87" t="n">
        <v>21.34</v>
      </c>
    </row>
    <row r="10">
      <c r="A10" s="81">
        <f>A9</f>
        <v/>
      </c>
      <c r="B10" s="28" t="inlineStr">
        <is>
          <t>Garona</t>
        </is>
      </c>
      <c r="C10" s="28" t="inlineStr">
        <is>
          <t>BW1</t>
        </is>
      </c>
      <c r="D10" s="28" t="inlineStr">
        <is>
          <t>battery_4h</t>
        </is>
      </c>
      <c r="E10" s="54" t="n">
        <v>153</v>
      </c>
      <c r="F10" s="54" t="n">
        <v>2025</v>
      </c>
      <c r="G10" s="54">
        <f>F10+15</f>
        <v/>
      </c>
      <c r="H10" s="54" t="n">
        <v>0</v>
      </c>
      <c r="I10" s="54" t="n">
        <v>855</v>
      </c>
      <c r="J10" s="86" t="n">
        <v>0.89</v>
      </c>
      <c r="K10" s="54">
        <f>L10*E10/1000</f>
        <v/>
      </c>
      <c r="L10" s="54" t="n">
        <v>4</v>
      </c>
      <c r="M10" s="54" t="n">
        <v>-28.74</v>
      </c>
      <c r="N10" s="88" t="n">
        <v>21.99</v>
      </c>
    </row>
    <row r="11">
      <c r="A11" s="81">
        <f>A10</f>
        <v/>
      </c>
      <c r="B11" s="33" t="inlineStr">
        <is>
          <t>Mercury</t>
        </is>
      </c>
      <c r="C11" s="33" t="inlineStr">
        <is>
          <t>BW2</t>
        </is>
      </c>
      <c r="D11" s="33" t="inlineStr">
        <is>
          <t>battery_4h</t>
        </is>
      </c>
      <c r="E11" s="55" t="n">
        <v>76</v>
      </c>
      <c r="F11" s="55" t="n">
        <v>2027</v>
      </c>
      <c r="G11" s="55">
        <f>F11+15</f>
        <v/>
      </c>
      <c r="H11" s="55" t="n">
        <v>0</v>
      </c>
      <c r="I11" s="55" t="n">
        <v>855</v>
      </c>
      <c r="J11" s="84" t="n">
        <v>0.89</v>
      </c>
      <c r="K11" s="55">
        <f>L11*E11/1000</f>
        <v/>
      </c>
      <c r="L11" s="55" t="n">
        <v>4</v>
      </c>
      <c r="M11" s="55" t="n">
        <v>-26.99</v>
      </c>
      <c r="N11" s="87" t="n">
        <v>26.67</v>
      </c>
    </row>
    <row r="12">
      <c r="A12" s="81">
        <f>A11</f>
        <v/>
      </c>
      <c r="B12" s="28" t="inlineStr">
        <is>
          <t>Carnel</t>
        </is>
      </c>
      <c r="C12" s="28" t="inlineStr">
        <is>
          <t>BW2</t>
        </is>
      </c>
      <c r="D12" s="28" t="inlineStr">
        <is>
          <t>battery_4h</t>
        </is>
      </c>
      <c r="E12" s="54" t="n">
        <v>77</v>
      </c>
      <c r="F12" s="54" t="n">
        <v>2027</v>
      </c>
      <c r="G12" s="54">
        <f>F12+15</f>
        <v/>
      </c>
      <c r="H12" s="54" t="n">
        <v>0</v>
      </c>
      <c r="I12" s="54" t="n">
        <v>855</v>
      </c>
      <c r="J12" s="86" t="n">
        <v>0.89</v>
      </c>
      <c r="K12" s="54">
        <f>L12*E12/1000</f>
        <v/>
      </c>
      <c r="L12" s="54" t="n">
        <v>4</v>
      </c>
      <c r="M12" s="54" t="n">
        <v>-26.42</v>
      </c>
      <c r="N12" s="88" t="n">
        <v>27.31</v>
      </c>
    </row>
    <row r="13">
      <c r="A13" s="81">
        <f>A12</f>
        <v/>
      </c>
      <c r="B13" s="33" t="inlineStr">
        <is>
          <t>Hermes</t>
        </is>
      </c>
      <c r="C13" s="33" t="inlineStr">
        <is>
          <t>BW2</t>
        </is>
      </c>
      <c r="D13" s="33" t="inlineStr">
        <is>
          <t>battery_4h</t>
        </is>
      </c>
      <c r="E13" s="55" t="n">
        <v>77</v>
      </c>
      <c r="F13" s="55" t="n">
        <v>2027</v>
      </c>
      <c r="G13" s="55">
        <f>F13+15</f>
        <v/>
      </c>
      <c r="H13" s="55" t="n">
        <v>0</v>
      </c>
      <c r="I13" s="55" t="n">
        <v>855</v>
      </c>
      <c r="J13" s="84" t="n">
        <v>0.89</v>
      </c>
      <c r="K13" s="55">
        <f>L13*E13/1000</f>
        <v/>
      </c>
      <c r="L13" s="55" t="n">
        <v>4</v>
      </c>
      <c r="M13" s="55" t="n">
        <v>-26.9</v>
      </c>
      <c r="N13" s="87" t="n">
        <v>26.78</v>
      </c>
    </row>
    <row r="14">
      <c r="A14" s="81">
        <f>A13</f>
        <v/>
      </c>
      <c r="B14" s="28" t="inlineStr">
        <is>
          <t>Ngwedi</t>
        </is>
      </c>
      <c r="C14" s="28" t="inlineStr">
        <is>
          <t>BW2</t>
        </is>
      </c>
      <c r="D14" s="28" t="inlineStr">
        <is>
          <t>battery_4h</t>
        </is>
      </c>
      <c r="E14" s="54" t="n">
        <v>77</v>
      </c>
      <c r="F14" s="54" t="n">
        <v>2027</v>
      </c>
      <c r="G14" s="54">
        <f>F14+15</f>
        <v/>
      </c>
      <c r="H14" s="54" t="n">
        <v>0</v>
      </c>
      <c r="I14" s="54" t="n">
        <v>855</v>
      </c>
      <c r="J14" s="86" t="n">
        <v>0.89</v>
      </c>
      <c r="K14" s="54">
        <f>L14*E14/1000</f>
        <v/>
      </c>
      <c r="L14" s="54" t="n">
        <v>4</v>
      </c>
      <c r="M14" s="54" t="n">
        <v>-25.41</v>
      </c>
      <c r="N14" s="88" t="n">
        <v>27.09</v>
      </c>
    </row>
    <row r="15">
      <c r="A15" s="81">
        <f>A14</f>
        <v/>
      </c>
      <c r="B15" s="33" t="inlineStr">
        <is>
          <t>Midas</t>
        </is>
      </c>
      <c r="C15" s="33" t="inlineStr">
        <is>
          <t>BW2</t>
        </is>
      </c>
      <c r="D15" s="33" t="inlineStr">
        <is>
          <t>battery_4h</t>
        </is>
      </c>
      <c r="E15" s="55" t="n">
        <v>77</v>
      </c>
      <c r="F15" s="55" t="n">
        <v>2027</v>
      </c>
      <c r="G15" s="55">
        <f>F15+15</f>
        <v/>
      </c>
      <c r="H15" s="55" t="n">
        <v>0</v>
      </c>
      <c r="I15" s="55" t="n">
        <v>855</v>
      </c>
      <c r="J15" s="84" t="n">
        <v>0.89</v>
      </c>
      <c r="K15" s="55">
        <f>L15*E15/1000</f>
        <v/>
      </c>
      <c r="L15" s="55" t="n">
        <v>4</v>
      </c>
      <c r="M15" s="55" t="n">
        <v>-26.38</v>
      </c>
      <c r="N15" s="87" t="n">
        <v>27.53</v>
      </c>
    </row>
    <row r="16">
      <c r="A16" s="81">
        <f>A15</f>
        <v/>
      </c>
      <c r="B16" s="28" t="inlineStr">
        <is>
          <t>Marang</t>
        </is>
      </c>
      <c r="C16" s="28" t="inlineStr">
        <is>
          <t>BW2</t>
        </is>
      </c>
      <c r="D16" s="28" t="inlineStr">
        <is>
          <t>battery_4h</t>
        </is>
      </c>
      <c r="E16" s="54" t="n">
        <v>77</v>
      </c>
      <c r="F16" s="54" t="n">
        <v>2027</v>
      </c>
      <c r="G16" s="54">
        <f>F16+15</f>
        <v/>
      </c>
      <c r="H16" s="54" t="n">
        <v>0</v>
      </c>
      <c r="I16" s="54" t="n">
        <v>855</v>
      </c>
      <c r="J16" s="86" t="n">
        <v>0.89</v>
      </c>
      <c r="K16" s="54">
        <f>L16*E16/1000</f>
        <v/>
      </c>
      <c r="L16" s="54" t="n">
        <v>4</v>
      </c>
      <c r="M16" s="54" t="n">
        <v>-25.61</v>
      </c>
      <c r="N16" s="88" t="n">
        <v>27.33</v>
      </c>
    </row>
    <row r="17">
      <c r="A17" s="81">
        <f>A16</f>
        <v/>
      </c>
      <c r="B17" s="33" t="inlineStr">
        <is>
          <t>Bighorn</t>
        </is>
      </c>
      <c r="C17" s="33" t="inlineStr">
        <is>
          <t>BW2</t>
        </is>
      </c>
      <c r="D17" s="33" t="inlineStr">
        <is>
          <t>battery_4h</t>
        </is>
      </c>
      <c r="E17" s="55" t="n">
        <v>77</v>
      </c>
      <c r="F17" s="55" t="n">
        <v>2027</v>
      </c>
      <c r="G17" s="55">
        <f>F17+15</f>
        <v/>
      </c>
      <c r="H17" s="55" t="n">
        <v>0</v>
      </c>
      <c r="I17" s="55" t="n">
        <v>855</v>
      </c>
      <c r="J17" s="84" t="n">
        <v>0.89</v>
      </c>
      <c r="K17" s="55">
        <f>L17*E17/1000</f>
        <v/>
      </c>
      <c r="L17" s="55" t="n">
        <v>4</v>
      </c>
      <c r="M17" s="55" t="n">
        <v>-25.68</v>
      </c>
      <c r="N17" s="87" t="n">
        <v>27.51</v>
      </c>
    </row>
    <row r="18">
      <c r="A18" s="81">
        <f>A17</f>
        <v/>
      </c>
      <c r="B18" s="28" t="inlineStr">
        <is>
          <t>Ararat</t>
        </is>
      </c>
      <c r="C18" s="28" t="inlineStr">
        <is>
          <t>BW2</t>
        </is>
      </c>
      <c r="D18" s="28" t="inlineStr">
        <is>
          <t>battery_4h</t>
        </is>
      </c>
      <c r="E18" s="54" t="n">
        <v>77</v>
      </c>
      <c r="F18" s="54" t="n">
        <v>2027</v>
      </c>
      <c r="G18" s="54">
        <f>F18+15</f>
        <v/>
      </c>
      <c r="H18" s="54" t="n">
        <v>0</v>
      </c>
      <c r="I18" s="54" t="n">
        <v>855</v>
      </c>
      <c r="J18" s="86" t="n">
        <v>0.89</v>
      </c>
      <c r="K18" s="54">
        <f>L18*E18/1000</f>
        <v/>
      </c>
      <c r="L18" s="54" t="n">
        <v>4</v>
      </c>
      <c r="M18" s="54" t="n">
        <v>-25.56</v>
      </c>
      <c r="N18" s="88" t="n">
        <v>27.19</v>
      </c>
    </row>
    <row r="19">
      <c r="A19" s="81">
        <f>A18</f>
        <v/>
      </c>
      <c r="B19" s="33" t="inlineStr">
        <is>
          <t>Witzenberg</t>
        </is>
      </c>
      <c r="C19" s="33" t="inlineStr">
        <is>
          <t>eskom</t>
        </is>
      </c>
      <c r="D19" s="33" t="inlineStr">
        <is>
          <t>battery_4h</t>
        </is>
      </c>
      <c r="E19" s="55" t="n">
        <v>17</v>
      </c>
      <c r="F19" s="55" t="n">
        <v>2026</v>
      </c>
      <c r="G19" s="55">
        <f>F19+15</f>
        <v/>
      </c>
      <c r="H19" s="55" t="n">
        <v>0</v>
      </c>
      <c r="I19" s="55" t="n">
        <v>855</v>
      </c>
      <c r="J19" s="84" t="n">
        <v>0.89</v>
      </c>
      <c r="K19" s="55">
        <f>L19*E19/1000</f>
        <v/>
      </c>
      <c r="L19" s="55" t="n">
        <v>4</v>
      </c>
      <c r="M19" s="55" t="n">
        <v>-33.23</v>
      </c>
      <c r="N19" s="55" t="n">
        <v>19.32</v>
      </c>
    </row>
    <row r="20">
      <c r="A20" s="81">
        <f>A19</f>
        <v/>
      </c>
      <c r="B20" s="28" t="inlineStr">
        <is>
          <t>Ashton</t>
        </is>
      </c>
      <c r="C20" s="28" t="inlineStr">
        <is>
          <t>eskom</t>
        </is>
      </c>
      <c r="D20" s="28" t="inlineStr">
        <is>
          <t>battery_4h</t>
        </is>
      </c>
      <c r="E20" s="54" t="n">
        <v>17</v>
      </c>
      <c r="F20" s="54" t="n">
        <v>2026</v>
      </c>
      <c r="G20" s="54">
        <f>F20+15</f>
        <v/>
      </c>
      <c r="H20" s="54" t="n">
        <v>0</v>
      </c>
      <c r="I20" s="54" t="n">
        <v>855</v>
      </c>
      <c r="J20" s="86" t="n">
        <v>0.89</v>
      </c>
      <c r="K20" s="54">
        <f>L20*E20/1000</f>
        <v/>
      </c>
      <c r="L20" s="54" t="n">
        <v>4</v>
      </c>
      <c r="M20" s="54" t="n">
        <v>-33.8</v>
      </c>
      <c r="N20" s="54" t="n">
        <v>20.14</v>
      </c>
    </row>
    <row r="21">
      <c r="A21" s="81">
        <f>A20</f>
        <v/>
      </c>
      <c r="B21" s="33" t="inlineStr">
        <is>
          <t>Cuprum</t>
        </is>
      </c>
      <c r="C21" s="33" t="inlineStr">
        <is>
          <t>eskom</t>
        </is>
      </c>
      <c r="D21" s="33" t="inlineStr">
        <is>
          <t>battery_4h</t>
        </is>
      </c>
      <c r="E21" s="55" t="n">
        <v>70</v>
      </c>
      <c r="F21" s="55" t="n">
        <v>2026</v>
      </c>
      <c r="G21" s="55">
        <f>F21+15</f>
        <v/>
      </c>
      <c r="H21" s="55" t="n">
        <v>0</v>
      </c>
      <c r="I21" s="55" t="n">
        <v>855</v>
      </c>
      <c r="J21" s="84" t="n">
        <v>0.89</v>
      </c>
      <c r="K21" s="55">
        <f>L21*E21/1000</f>
        <v/>
      </c>
      <c r="L21" s="55" t="n">
        <v>4</v>
      </c>
      <c r="M21" s="55" t="n">
        <v>-29.96</v>
      </c>
      <c r="N21" s="55" t="n">
        <v>22.3</v>
      </c>
    </row>
    <row r="22">
      <c r="A22" s="81">
        <f>A21</f>
        <v/>
      </c>
      <c r="B22" s="28" t="inlineStr">
        <is>
          <t>Kiwano</t>
        </is>
      </c>
      <c r="C22" s="28" t="inlineStr">
        <is>
          <t>eskom</t>
        </is>
      </c>
      <c r="D22" s="28" t="inlineStr">
        <is>
          <t>battery_4h</t>
        </is>
      </c>
      <c r="E22" s="54" t="n">
        <v>40</v>
      </c>
      <c r="F22" s="54" t="n">
        <v>2026</v>
      </c>
      <c r="G22" s="54">
        <f>F22+15</f>
        <v/>
      </c>
      <c r="H22" s="54" t="n">
        <v>0</v>
      </c>
      <c r="I22" s="54" t="n">
        <v>855</v>
      </c>
      <c r="J22" s="86" t="n">
        <v>0.89</v>
      </c>
      <c r="K22" s="54">
        <f>L22*E22/1000</f>
        <v/>
      </c>
      <c r="L22" s="54" t="n">
        <v>4</v>
      </c>
      <c r="M22" s="54" t="n">
        <v>-28.54</v>
      </c>
      <c r="N22" s="54" t="n">
        <v>21.12</v>
      </c>
    </row>
    <row r="23">
      <c r="A23" s="81">
        <f>A22</f>
        <v/>
      </c>
      <c r="B23" s="33" t="inlineStr">
        <is>
          <t>Skaapvlei</t>
        </is>
      </c>
      <c r="C23" s="33" t="inlineStr">
        <is>
          <t>eskom</t>
        </is>
      </c>
      <c r="D23" s="33" t="inlineStr">
        <is>
          <t>battery_4h</t>
        </is>
      </c>
      <c r="E23" s="55" t="n">
        <v>80</v>
      </c>
      <c r="F23" s="55" t="n">
        <v>2025</v>
      </c>
      <c r="G23" s="55">
        <f>F23+15</f>
        <v/>
      </c>
      <c r="H23" s="55" t="n">
        <v>0</v>
      </c>
      <c r="I23" s="55" t="n">
        <v>855</v>
      </c>
      <c r="J23" s="84" t="n">
        <v>0.89</v>
      </c>
      <c r="K23" s="55">
        <f>L23*E23/1000</f>
        <v/>
      </c>
      <c r="L23" s="55" t="n">
        <v>4</v>
      </c>
      <c r="M23" s="55" t="n">
        <v>-31.56</v>
      </c>
      <c r="N23" s="55" t="n">
        <v>18.13</v>
      </c>
    </row>
    <row r="24">
      <c r="A24" s="81">
        <f>A23</f>
        <v/>
      </c>
      <c r="B24" s="28" t="inlineStr">
        <is>
          <t>Melkhout</t>
        </is>
      </c>
      <c r="C24" s="28" t="inlineStr">
        <is>
          <t>eskom</t>
        </is>
      </c>
      <c r="D24" s="28" t="inlineStr">
        <is>
          <t>battery_4h</t>
        </is>
      </c>
      <c r="E24" s="54" t="n">
        <v>35</v>
      </c>
      <c r="F24" s="54">
        <f>F23</f>
        <v/>
      </c>
      <c r="G24" s="54">
        <f>F24+15</f>
        <v/>
      </c>
      <c r="H24" s="54" t="n">
        <v>0</v>
      </c>
      <c r="I24" s="54" t="n">
        <v>855</v>
      </c>
      <c r="J24" s="86" t="n">
        <v>0.89</v>
      </c>
      <c r="K24" s="54">
        <f>L24*E24/1000</f>
        <v/>
      </c>
      <c r="L24" s="54" t="n">
        <v>4</v>
      </c>
      <c r="M24" s="54" t="n">
        <v>-34</v>
      </c>
      <c r="N24" s="54" t="n">
        <v>24.78</v>
      </c>
    </row>
    <row r="25">
      <c r="A25" s="81">
        <f>A24</f>
        <v/>
      </c>
      <c r="B25" s="33" t="inlineStr">
        <is>
          <t>Elandskop</t>
        </is>
      </c>
      <c r="C25" s="33" t="inlineStr">
        <is>
          <t>eskom</t>
        </is>
      </c>
      <c r="D25" s="33" t="inlineStr">
        <is>
          <t>battery_4h</t>
        </is>
      </c>
      <c r="E25" s="55" t="n">
        <v>8</v>
      </c>
      <c r="F25" s="55">
        <f>F24</f>
        <v/>
      </c>
      <c r="G25" s="55">
        <f>F25+15</f>
        <v/>
      </c>
      <c r="H25" s="55" t="n">
        <v>0</v>
      </c>
      <c r="I25" s="55" t="n">
        <v>855</v>
      </c>
      <c r="J25" s="84" t="n">
        <v>0.89</v>
      </c>
      <c r="K25" s="55">
        <f>L25*E25/1000</f>
        <v/>
      </c>
      <c r="L25" s="55" t="n">
        <v>4</v>
      </c>
      <c r="M25" s="55" t="n">
        <v>-29.67</v>
      </c>
      <c r="N25" s="55" t="n">
        <v>30.08</v>
      </c>
    </row>
    <row r="26">
      <c r="A26" s="81">
        <f>A25</f>
        <v/>
      </c>
      <c r="B26" s="28" t="inlineStr">
        <is>
          <t>Pongola</t>
        </is>
      </c>
      <c r="C26" s="28" t="inlineStr">
        <is>
          <t>eskom</t>
        </is>
      </c>
      <c r="D26" s="28" t="inlineStr">
        <is>
          <t>battery_4h</t>
        </is>
      </c>
      <c r="E26" s="54" t="n">
        <v>40</v>
      </c>
      <c r="F26" s="54">
        <f>F25</f>
        <v/>
      </c>
      <c r="G26" s="54">
        <f>F26+15</f>
        <v/>
      </c>
      <c r="H26" s="54" t="n">
        <v>0</v>
      </c>
      <c r="I26" s="54" t="n">
        <v>855</v>
      </c>
      <c r="J26" s="86" t="n">
        <v>0.89</v>
      </c>
      <c r="K26" s="54">
        <f>L26*E26/1000</f>
        <v/>
      </c>
      <c r="L26" s="54" t="n">
        <v>4</v>
      </c>
      <c r="M26" s="54" t="n">
        <v>-27.45</v>
      </c>
      <c r="N26" s="54" t="n">
        <v>31.64</v>
      </c>
    </row>
    <row r="27">
      <c r="A27" s="81">
        <f>A26</f>
        <v/>
      </c>
      <c r="B27" s="33" t="inlineStr">
        <is>
          <t>Hex</t>
        </is>
      </c>
      <c r="C27" s="33" t="inlineStr">
        <is>
          <t>eskom</t>
        </is>
      </c>
      <c r="D27" s="33" t="inlineStr">
        <is>
          <t>battery_4h</t>
        </is>
      </c>
      <c r="E27" s="55" t="n">
        <v>20</v>
      </c>
      <c r="F27" s="55">
        <f>F26</f>
        <v/>
      </c>
      <c r="G27" s="55">
        <f>F27+15</f>
        <v/>
      </c>
      <c r="H27" s="55" t="n">
        <v>0</v>
      </c>
      <c r="I27" s="55" t="n">
        <v>855</v>
      </c>
      <c r="J27" s="84" t="n">
        <v>0.89</v>
      </c>
      <c r="K27" s="55">
        <f>L27*E27/1000</f>
        <v/>
      </c>
      <c r="L27" s="55" t="n">
        <v>4</v>
      </c>
      <c r="M27" s="55" t="n">
        <v>-33.64</v>
      </c>
      <c r="N27" s="55" t="n">
        <v>19.48</v>
      </c>
    </row>
    <row r="28">
      <c r="A28" s="81">
        <f>A27</f>
        <v/>
      </c>
      <c r="B28" s="28" t="inlineStr">
        <is>
          <t>Graafwater</t>
        </is>
      </c>
      <c r="C28" s="28" t="inlineStr">
        <is>
          <t>eskom</t>
        </is>
      </c>
      <c r="D28" s="28" t="inlineStr">
        <is>
          <t>battery_4h</t>
        </is>
      </c>
      <c r="E28" s="54" t="n">
        <v>5</v>
      </c>
      <c r="F28" s="54">
        <f>F27</f>
        <v/>
      </c>
      <c r="G28" s="54">
        <f>F28+15</f>
        <v/>
      </c>
      <c r="H28" s="54" t="n">
        <v>0</v>
      </c>
      <c r="I28" s="54" t="n">
        <v>855</v>
      </c>
      <c r="J28" s="86" t="n">
        <v>0.89</v>
      </c>
      <c r="K28" s="54">
        <f>L28*E28/1000</f>
        <v/>
      </c>
      <c r="L28" s="54" t="n">
        <v>4</v>
      </c>
      <c r="M28" s="54" t="n">
        <v>-32.18</v>
      </c>
      <c r="N28" s="54" t="n">
        <v>18.6</v>
      </c>
    </row>
    <row r="29">
      <c r="A29" s="81">
        <f>A28</f>
        <v/>
      </c>
      <c r="B29" s="33" t="inlineStr">
        <is>
          <t>Paleisheuwel</t>
        </is>
      </c>
      <c r="C29" s="33" t="inlineStr">
        <is>
          <t>eskom</t>
        </is>
      </c>
      <c r="D29" s="33" t="inlineStr">
        <is>
          <t>battery_4h</t>
        </is>
      </c>
      <c r="E29" s="55" t="n">
        <v>9.5</v>
      </c>
      <c r="F29" s="55">
        <f>F28</f>
        <v/>
      </c>
      <c r="G29" s="55">
        <f>F29+15</f>
        <v/>
      </c>
      <c r="H29" s="55" t="n">
        <v>0</v>
      </c>
      <c r="I29" s="55" t="n">
        <v>855</v>
      </c>
      <c r="J29" s="84" t="n">
        <v>0.89</v>
      </c>
      <c r="K29" s="55">
        <f>L29*E29/1000</f>
        <v/>
      </c>
      <c r="L29" s="55" t="n">
        <v>4</v>
      </c>
      <c r="M29" s="55" t="n">
        <v>-32.42</v>
      </c>
      <c r="N29" s="55" t="n">
        <v>18.74</v>
      </c>
    </row>
    <row r="30">
      <c r="A30" s="89">
        <f>A28</f>
        <v/>
      </c>
      <c r="B30" s="28" t="inlineStr">
        <is>
          <t>Rietfontein</t>
        </is>
      </c>
      <c r="C30" s="28" t="inlineStr">
        <is>
          <t>eskom</t>
        </is>
      </c>
      <c r="D30" s="28" t="inlineStr">
        <is>
          <t>battery_4h</t>
        </is>
      </c>
      <c r="E30" s="54" t="n">
        <v>1.54</v>
      </c>
      <c r="F30" s="54">
        <f>F28</f>
        <v/>
      </c>
      <c r="G30" s="54">
        <f>F30+15</f>
        <v/>
      </c>
      <c r="H30" s="54" t="n">
        <v>0</v>
      </c>
      <c r="I30" s="54" t="n">
        <v>855</v>
      </c>
      <c r="J30" s="86" t="n">
        <v>0.89</v>
      </c>
      <c r="K30" s="54">
        <f>L30*E30/1000</f>
        <v/>
      </c>
      <c r="L30" s="54" t="n">
        <v>4</v>
      </c>
      <c r="M30" s="54" t="n">
        <v>-26.73</v>
      </c>
      <c r="N30" s="54" t="n">
        <v>20.03</v>
      </c>
    </row>
    <row r="31">
      <c r="A31" s="89">
        <f>A29</f>
        <v/>
      </c>
      <c r="B31" s="33" t="inlineStr">
        <is>
          <t>Eskom Komati</t>
        </is>
      </c>
      <c r="C31" s="33" t="inlineStr">
        <is>
          <t>eskom</t>
        </is>
      </c>
      <c r="D31" s="55" t="inlineStr">
        <is>
          <t>battery_4h</t>
        </is>
      </c>
      <c r="E31" s="55" t="n">
        <v>150</v>
      </c>
      <c r="F31" s="55" t="n">
        <v>2027</v>
      </c>
      <c r="G31" s="55">
        <f>F31+15</f>
        <v/>
      </c>
      <c r="H31" s="55" t="n">
        <v>0</v>
      </c>
      <c r="I31" s="55" t="n">
        <v>855</v>
      </c>
      <c r="J31" s="90" t="n">
        <v>0.89</v>
      </c>
      <c r="K31" s="55">
        <f>L31*E31/1000</f>
        <v/>
      </c>
      <c r="L31" s="55" t="n">
        <v>4</v>
      </c>
      <c r="M31" s="102" t="n">
        <v>-26.09078</v>
      </c>
      <c r="N31" s="103" t="n">
        <v>29.47446</v>
      </c>
    </row>
  </sheetData>
  <autoFilter ref="A1:N31"/>
  <conditionalFormatting sqref="A2:A31">
    <cfRule type="containsText" priority="2" operator="containsText" dxfId="0" text="ignore">
      <formula>NOT(ISERROR(SEARCH("ignore",A2)))</formula>
    </cfRule>
  </conditionalFormatting>
  <pageMargins left="0.7" right="0.7" top="0.75" bottom="0.75" header="0.5118110236220469" footer="0.5118110236220469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pklein</dc:creator>
  <dc:language xmlns:dc="http://purl.org/dc/elements/1.1/">en-GB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2026-08-16T21:49:49Z</dcterms:modified>
  <cp:lastModifiedBy>Agatha Majcher</cp:lastModifiedBy>
  <cp:revision>6</cp:revision>
</cp:coreProperties>
</file>