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linstitutde-my.sharepoint.com/personal/agatha_majcher_rl-institut_de/Documents/Desktop/"/>
    </mc:Choice>
  </mc:AlternateContent>
  <xr:revisionPtr revIDLastSave="31" documentId="11_D181A226D051B88EEA2B40D65E8A06BE8AC2DD14" xr6:coauthVersionLast="47" xr6:coauthVersionMax="47" xr10:uidLastSave="{13628CD3-7C61-4A9F-B974-853BBA9A6CD3}"/>
  <bookViews>
    <workbookView xWindow="2730" yWindow="15" windowWidth="17880" windowHeight="15465" tabRatio="500" xr2:uid="{00000000-000D-0000-FFFF-FFFF00000000}"/>
  </bookViews>
  <sheets>
    <sheet name="scenario_definition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E9" i="1"/>
  <c r="D9" i="1"/>
  <c r="G8" i="1"/>
  <c r="E8" i="1"/>
  <c r="D8" i="1"/>
  <c r="G7" i="1"/>
  <c r="E7" i="1"/>
  <c r="D7" i="1"/>
  <c r="G6" i="1"/>
  <c r="E6" i="1"/>
  <c r="D6" i="1"/>
  <c r="E5" i="1"/>
  <c r="D5" i="1"/>
  <c r="E4" i="1"/>
  <c r="D4" i="1"/>
  <c r="E3" i="1"/>
  <c r="D3" i="1"/>
  <c r="E2" i="1"/>
  <c r="D2" i="1"/>
</calcChain>
</file>

<file path=xl/sharedStrings.xml><?xml version="1.0" encoding="utf-8"?>
<sst xmlns="http://schemas.openxmlformats.org/spreadsheetml/2006/main" count="409" uniqueCount="164">
  <si>
    <t>index</t>
  </si>
  <si>
    <t>scenario</t>
  </si>
  <si>
    <t>solver</t>
  </si>
  <si>
    <t>show</t>
  </si>
  <si>
    <t>export</t>
  </si>
  <si>
    <t>export_iteration</t>
  </si>
  <si>
    <t>run_scenario</t>
  </si>
  <si>
    <t>variable_storage_vom</t>
  </si>
  <si>
    <t>simulation_years</t>
  </si>
  <si>
    <t>weather</t>
  </si>
  <si>
    <t>dispatch_coal_flex</t>
  </si>
  <si>
    <t>regions</t>
  </si>
  <si>
    <t>resource_area</t>
  </si>
  <si>
    <t>line_expansion</t>
  </si>
  <si>
    <t>options</t>
  </si>
  <si>
    <t>transmission_grid</t>
  </si>
  <si>
    <t>fixed_conventional</t>
  </si>
  <si>
    <t>phased_decom</t>
  </si>
  <si>
    <t>unit_committment</t>
  </si>
  <si>
    <t>endogenous_coal_decom</t>
  </si>
  <si>
    <t>override_coal_msl</t>
  </si>
  <si>
    <t>coal_ramp_rate_multiplier</t>
  </si>
  <si>
    <t>fixed_fuel_prices</t>
  </si>
  <si>
    <t>fixed_emissions</t>
  </si>
  <si>
    <t>fixed_renewables</t>
  </si>
  <si>
    <t>fixed_storage</t>
  </si>
  <si>
    <t>extendable_active</t>
  </si>
  <si>
    <t>extendable_parameters</t>
  </si>
  <si>
    <t>global_discount_rate</t>
  </si>
  <si>
    <t>extendable_fuel_prices</t>
  </si>
  <si>
    <t>extendable_emissions</t>
  </si>
  <si>
    <t>extendable_max_total</t>
  </si>
  <si>
    <t>extendable_min_total</t>
  </si>
  <si>
    <t>extendable_max_annual</t>
  </si>
  <si>
    <t>extendable_min_annual</t>
  </si>
  <si>
    <t>aux_stg_feed</t>
  </si>
  <si>
    <t>operational_limits</t>
  </si>
  <si>
    <t>operational_reserves</t>
  </si>
  <si>
    <t>outage_profiles</t>
  </si>
  <si>
    <t>annual_availability</t>
  </si>
  <si>
    <t>carbon_constraints</t>
  </si>
  <si>
    <t>carbon_tax</t>
  </si>
  <si>
    <t>load_trajectory</t>
  </si>
  <si>
    <t>reserve_margin</t>
  </si>
  <si>
    <t>capacity_credits</t>
  </si>
  <si>
    <t>P0_BASE</t>
  </si>
  <si>
    <t>gurobi</t>
  </si>
  <si>
    <t>true</t>
  </si>
  <si>
    <t>2025, 2030</t>
  </si>
  <si>
    <t>W_P50</t>
  </si>
  <si>
    <t>SL_0</t>
  </si>
  <si>
    <t>redz_corridors_eia</t>
  </si>
  <si>
    <t>copt</t>
  </si>
  <si>
    <t>LC</t>
  </si>
  <si>
    <t>existing+tdp</t>
  </si>
  <si>
    <t>BASE_PMR1b</t>
  </si>
  <si>
    <t>DELAYED_ESKOM_2035</t>
  </si>
  <si>
    <t>BASE</t>
  </si>
  <si>
    <t>UNC</t>
  </si>
  <si>
    <t>DIESEL_LNG</t>
  </si>
  <si>
    <t>NO_MIN_GAS</t>
  </si>
  <si>
    <t>EAF_60</t>
  </si>
  <si>
    <t>none</t>
  </si>
  <si>
    <t>IRP24_MOD</t>
  </si>
  <si>
    <t>RES_MRGN_10</t>
  </si>
  <si>
    <t>BASE2</t>
  </si>
  <si>
    <t>P0_BASE_R</t>
  </si>
  <si>
    <t>CT_REINVEST</t>
  </si>
  <si>
    <t>P0_CT</t>
  </si>
  <si>
    <t>CT_2030</t>
  </si>
  <si>
    <t>P0_CT_R</t>
  </si>
  <si>
    <t>P1_BASE</t>
  </si>
  <si>
    <t>2025, 2030, 2035, 2040, 2045, 2050</t>
  </si>
  <si>
    <t>P1_BASE_R</t>
  </si>
  <si>
    <t>P1_CT</t>
  </si>
  <si>
    <t>CT_2050</t>
  </si>
  <si>
    <t>P1_CT_R</t>
  </si>
  <si>
    <t>* Solver used to solve the LP optimization problem.</t>
  </si>
  <si>
    <t>* Visualization/plot-output flag. DEAD: not read anywhere in current scripts, has no effect.</t>
  </si>
  <si>
    <t>* Export-results flag. DEAD: not read anywhere in current scripts, has no effect.</t>
  </si>
  <si>
    <t>* Number of intermediate export iterations. DEAD: not read anywhere in current scripts.</t>
  </si>
  <si>
    <t>* Whether this row is included when Snakemake builds the scenario run list.</t>
  </si>
  <si>
    <t>* If truthy, storage VOM cost is computed per year from extendable parameters instead of a fixed value.</t>
  </si>
  <si>
    <t>* Snapshot years modeled. Paper 0 = single 2030 cross-section (2025 = start-of-horizon reference year).</t>
  </si>
  <si>
    <t>* P50 median weather year, mapped to historical year 2018 for all model years.</t>
  </si>
  <si>
    <t>* Coal dispatch "service level". INACTIVE for P0: only takes effect when unit_committment=1 (P0 has 0).</t>
  </si>
  <si>
    <t>* Number of supply regions the network is split into (10-node representation of South Africa).</t>
  </si>
  <si>
    <t>* Candidate site set for new renewables: Renewable Energy Development Zones + grid corridors + EIA-approved sites.</t>
  </si>
  <si>
    <t>* On/off flag for transmission expansion. Any value other than none/0/false/nan makes transmission links extendable (cost-optimal expansion beyond existing+TDP grid allowed).</t>
  </si>
  <si>
    <t>* Time-resolution setting for dispatch. "LC" (no numeric/SEG suffix) = full chronological year, 8760h, no snapshot clustering.</t>
  </si>
  <si>
    <t>* Transmission grid = existing lines + Eskom Transmission Development Plan (planned lines to scheduled build year). No user-defined lines added (no 3rd "+" token).</t>
  </si>
  <si>
    <t>* Heat rates and fixed technical/cost parameters for the existing coal fleet.</t>
  </si>
  <si>
    <t>* Nominal coal retirement schedule label. Read by TWO code paths: (1) apply_phased_decommissioning() in add_electricity.py - its call is permanently commented out (add_electricity.py:1058), always dead; (2) add_coal_decom() in prepare_and_solve_network.py - active code, but only runs when unit_committment=1 (P0 has 0). For P0 this column therefore has NO effect either way - real coal retirement years come from decommissioning_date in fixed_technologies.xlsx::conventional instead. If unit_committment were ever set to 1, path (2) would activate and read phased_decommissioning.xlsx::schedule for real.</t>
  </si>
  <si>
    <t>* Unit commitment (startup/shutdown costs, min up/down times) disabled. Required =1 for columns K and T to take effect.</t>
  </si>
  <si>
    <t>* Would allow the model to endogenously retire coal early if profitable. Value is 0 for P0 (already off). The mechanism additionally needs unit_committment=1 to create the coal-decommissioning optimization variables in add_coal_decom() (prepare_and_solve_network.py) - P0 has unit_committment=0, so this is doubly inactive for P0.</t>
  </si>
  <si>
    <t>* Minimum stable load for coal units, overridden to 40% of nameplate capacity.</t>
  </si>
  <si>
    <t>* Coal fleet allowed to ramp 1.5x faster than the base ramp rate (Coal Flexibilisation feature).</t>
  </si>
  <si>
    <t>* Fuel price trajectory for existing (fixed) generators, incl. coal and diesel.</t>
  </si>
  <si>
    <t>* Emission factors for existing (fixed) generators.</t>
  </si>
  <si>
    <t>* Technical/cost parameters (capacity, O&amp;M, commissioning/decommissioning dates) for existing renewable plants.</t>
  </si>
  <si>
    <t>* Technical/cost parameters for existing storage (pumped hydro etc.).</t>
  </si>
  <si>
    <t>* Defines which technologies are allowed to be built as new capacity.</t>
  </si>
  <si>
    <t>* Capex/opex/lifetime parameters for new-build technologies (wind, solar, OCGT, battery).</t>
  </si>
  <si>
    <t>* 9.2% annual discount rate for investment decisions, overrides the default-sheet value (8.2%); chosen as South-Africa-appropriate.</t>
  </si>
  <si>
    <t>* Fuel price trajectory for new-build generators (e.g. OCGT).</t>
  </si>
  <si>
    <t>* Emission factors for new-build plants - the sole source of new-build emission factors used by the model.</t>
  </si>
  <si>
    <t>* Maximum total installed capacity per technology. UNC = unconstrained (sheet has no rows for UNC by design, so no cap applies).</t>
  </si>
  <si>
    <t>* Minimum total installed capacity (e.g. committed pipeline). UNC = unconstrained (no rows for UNC by design).</t>
  </si>
  <si>
    <t>* Maximum annual build rate per technology. UNC = unconstrained.</t>
  </si>
  <si>
    <t>* Minimum annual build requirement per technology. UNC = unconstrained.</t>
  </si>
  <si>
    <t>* Fuel(s) allowed for auxiliary storage/peaker units - diesel and LNG both permitted.</t>
  </si>
  <si>
    <t>* Operational dispatch constraint set. NO_MIN_GAS = no minimum gas dispatch required, but this set still contains other active constraints (e.g. nuclear must-run, Sasol gas caps) - see the 11 NO_MIN_GAS rows in the source sheet for exact figures.</t>
  </si>
  <si>
    <t>* Spinning/total operating reserve requirement. DEAD in current code: set_operating_reserves() call is commented out (prepare_and_solve_network.py:467). The "BASE" sheet for this column now only exists in the Coal_Flexibilisation_PK archive (650 MW spinning / 2200 MW total) - it was removed from this (cleaned) folder. If this constraint is ever reactivated, the operational_reserves sheet must be restored here first.</t>
  </si>
  <si>
    <t>* Weekly planned+unplanned outage rates per generating unit, used to derate availability across the year.</t>
  </si>
  <si>
    <t>* Energy Availability Factor = 60% for all Eskom coal units (all years 2023-2060) - optimistic vs. real recent Eskom performance (~55-60%). Other technologies under this label are unaffected (e.g. Koeberg nuclear 90%, Sasol coal 80%, new-build 85-100%).</t>
  </si>
  <si>
    <t>* none = no CO2 cap/constraint. CT_REINVEST (used in _R scenarios) = custom constraint requiring reinvestment of carbon-tax revenue into RE+battery capacity; implemented directly in code, not read from an xlsx sheet.</t>
  </si>
  <si>
    <t>* CT_2030 = carbon tax trajectory ramping to 462 R/tCO2 in 2030 only (0 in all other modeled years).</t>
  </si>
  <si>
    <t>* Demand growth trajectory - IRP2024 "moderate" scenario.</t>
  </si>
  <si>
    <t>* 10% reserve margin above peak demand required, active from 2030 onward (not before).</t>
  </si>
  <si>
    <t>* Share of nameplate capacity each technology counts toward the reserve margin - coal 53%, solar PV 0% (strict), wind/battery/OCGT per sheet. Correction vs. previous note: coal credit is 0.53, not 0.52.</t>
  </si>
  <si>
    <t>Source: direct value, not looked up in any sub_scenario file.</t>
  </si>
  <si>
    <t>Source: n/a (dead column).</t>
  </si>
  <si>
    <t>Source: direct value, read by scenario-generation code, no xlsx sub-lookup.</t>
  </si>
  <si>
    <t>Source: extendable_technologies.xlsx :: parameters (storage VOM columns).</t>
  </si>
  <si>
    <t>Source: direct value, not looked up.</t>
  </si>
  <si>
    <t>Source: weather.xlsx :: weather_years.</t>
  </si>
  <si>
    <t>Source: n/a for P0 (inactive code path).</t>
  </si>
  <si>
    <t>Source: direct value (network build parameter), not an xlsx lookup.</t>
  </si>
  <si>
    <t>Source: code-level flag (base_network.py), not an xlsx sub-lookup.</t>
  </si>
  <si>
    <t>Source: code-level flag, base_network.py:147; not an xlsx sub-lookup.</t>
  </si>
  <si>
    <t>Source: code-level flag, parsed in add_electricity.py:1770; not an xlsx sub-lookup.</t>
  </si>
  <si>
    <t>Source: code-level flag, build_topology.py:86+106 (line geometries from GIS shapefiles set in Snakefile). transmission_expansion.xlsx::transmission_expansion only used for user-defined lines, not consulted here (only contains an unused 'test' scenario).</t>
  </si>
  <si>
    <t>Source: fixed_technologies.xlsx :: conventional (BASE_PMR1b rows).</t>
  </si>
  <si>
    <t>Source: phased_decommissioning.xlsx :: schedule (present here; not read for P0 since unit_committment=0).</t>
  </si>
  <si>
    <t>Source: direct value, not an xlsx lookup.</t>
  </si>
  <si>
    <t>Source: n/a for P0 (inactive code path; no xlsx lookup - direct 0/1 flag).</t>
  </si>
  <si>
    <t>Source: direct numeric value typed into scenarios_to_run.xlsx, not looked up elsewhere.</t>
  </si>
  <si>
    <t>Source: multiplier is a direct value; base ramp rates (max_ramp_up/down) from fixed_technologies.xlsx :: conventional.</t>
  </si>
  <si>
    <t>Source: fuel_prices.xlsx :: fixed_generators.</t>
  </si>
  <si>
    <t>Source: emissions.xlsx :: fixed_generator_emissions.</t>
  </si>
  <si>
    <t>Source: fixed_technologies.xlsx :: renewables.</t>
  </si>
  <si>
    <t>Source: fixed_technologies.xlsx :: storage.</t>
  </si>
  <si>
    <t>Source: extendable_technologies.xlsx :: active.</t>
  </si>
  <si>
    <t>Source: extendable_technologies.xlsx :: parameters.</t>
  </si>
  <si>
    <t>Source: direct override value typed into scenarios_to_run.xlsx (overrides extendable_technologies.xlsx :: parameters default rate).</t>
  </si>
  <si>
    <t>Source: fuel_prices.xlsx :: extendable_generators.</t>
  </si>
  <si>
    <t>Source: emissions.xlsx :: extendable_generator_emissions. File note on coal row: "Assuming 96 kgCO2/GJ for thermal coal see coal_ref1" - reference "coal_ref1" could not be resolved anywhere in the workbook, please clarify.</t>
  </si>
  <si>
    <t>Source: extendable_technologies.xlsx :: max_total_installed.</t>
  </si>
  <si>
    <t>Source: extendable_technologies.xlsx :: min_total_installed.</t>
  </si>
  <si>
    <t>Source: extendable_technologies.xlsx :: max_annual_installed.</t>
  </si>
  <si>
    <t>Source: extendable_technologies.xlsx :: min_annual_installed.</t>
  </si>
  <si>
    <t>Source: aux_stg_feed.xlsx :: allowable_carriers.</t>
  </si>
  <si>
    <t>Source: operational_constraints.xlsx :: operational_constraints.</t>
  </si>
  <si>
    <t>Source: Coal_Flexibilisation_PK/sub_scenarios/operational_constraints.xlsx :: operational_reserves (archived; not present in this folder).</t>
  </si>
  <si>
    <t>Source: plant_availability.xlsx :: outage_profiles.</t>
  </si>
  <si>
    <t>Source: plant_availability.xlsx :: annual_availability.</t>
  </si>
  <si>
    <t>Source: custom_constraints.py (code-level constraint, no xlsx lookup).</t>
  </si>
  <si>
    <t>Source: emissions.xlsx :: carbon_tax.</t>
  </si>
  <si>
    <t>Source: annual_load.xlsx :: annual_load. File note: "CAGR 2040-2050 extended".</t>
  </si>
  <si>
    <t>Source: reserve_margin.xlsx :: reserve_margin.</t>
  </si>
  <si>
    <t>Source: reserve_margin.xlsx :: capacity_credits.</t>
  </si>
  <si>
    <t>LOWDelEVs</t>
  </si>
  <si>
    <t>co2_cap</t>
  </si>
  <si>
    <t>* added! Sets a co2 emission cap (not run by carbon contraint (that is reinvestment)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</si>
</sst>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%"/>
    <numFmt numFmtId="165" formatCode="#,##0.0%"/>
  </numFmts>
  <fonts count="2" x14ac:knownFonts="1">
    <font>
      <sz val="11"/>
      <color rgb="FF000000"/>
      <name val="Calibri"/>
      <family val="2"/>
      <charset val="1"/>
    </font>
    <font>
      <sz val="11"/>
      <color rgb="FF3F3F3F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E2F0D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3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0" xfId="0" applyAlignment="1">
      <alignment wrapText="1"/>
    </xf>
    <xf numFmtId="3" fontId="0" fillId="0" borderId="0" xfId="0" applyNumberFormat="1" applyAlignment="1">
      <alignment horizontal="right" wrapText="1"/>
    </xf>
    <xf numFmtId="3" fontId="1" fillId="2" borderId="1" xfId="0" applyNumberFormat="1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wrapText="1"/>
    </xf>
    <xf numFmtId="3" fontId="1" fillId="2" borderId="1" xfId="0" applyNumberFormat="1" applyFont="1" applyFill="1" applyBorder="1" applyAlignment="1">
      <alignment horizontal="right" wrapText="1"/>
    </xf>
    <xf numFmtId="164" fontId="1" fillId="2" borderId="1" xfId="0" applyNumberFormat="1" applyFont="1" applyFill="1" applyBorder="1" applyAlignment="1">
      <alignment horizontal="right" wrapText="1"/>
    </xf>
    <xf numFmtId="165" fontId="1" fillId="2" borderId="1" xfId="0" applyNumberFormat="1" applyFont="1" applyFill="1" applyBorder="1" applyAlignment="1">
      <alignment horizontal="right" wrapText="1"/>
    </xf>
    <xf numFmtId="0" fontId="0" fillId="2" borderId="1" xfId="0" applyFill="1" applyBorder="1" applyAlignment="1">
      <alignment horizontal="right" wrapText="1"/>
    </xf>
    <xf numFmtId="3" fontId="0" fillId="3" borderId="1" xfId="0" applyNumberFormat="1" applyFill="1" applyBorder="1" applyAlignment="1">
      <alignment horizontal="right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right" wrapText="1"/>
    </xf>
    <xf numFmtId="0" fontId="1" fillId="3" borderId="1" xfId="0" applyFont="1" applyFill="1" applyBorder="1" applyAlignment="1">
      <alignment horizontal="right" wrapText="1"/>
    </xf>
    <xf numFmtId="164" fontId="0" fillId="3" borderId="1" xfId="0" applyNumberFormat="1" applyFill="1" applyBorder="1" applyAlignment="1">
      <alignment horizontal="right"/>
    </xf>
    <xf numFmtId="4" fontId="0" fillId="3" borderId="1" xfId="0" applyNumberFormat="1" applyFill="1" applyBorder="1" applyAlignment="1">
      <alignment horizontal="right"/>
    </xf>
    <xf numFmtId="3" fontId="0" fillId="4" borderId="1" xfId="0" applyNumberFormat="1" applyFill="1" applyBorder="1" applyAlignment="1">
      <alignment horizontal="right"/>
    </xf>
    <xf numFmtId="0" fontId="0" fillId="4" borderId="1" xfId="0" applyFill="1" applyBorder="1" applyAlignment="1">
      <alignment horizontal="left"/>
    </xf>
    <xf numFmtId="0" fontId="1" fillId="4" borderId="1" xfId="0" applyFont="1" applyFill="1" applyBorder="1" applyAlignment="1">
      <alignment horizontal="right" wrapText="1"/>
    </xf>
    <xf numFmtId="164" fontId="0" fillId="4" borderId="1" xfId="0" applyNumberFormat="1" applyFill="1" applyBorder="1" applyAlignment="1">
      <alignment horizontal="right"/>
    </xf>
    <xf numFmtId="4" fontId="0" fillId="4" borderId="1" xfId="0" applyNumberFormat="1" applyFill="1" applyBorder="1" applyAlignment="1">
      <alignment horizontal="right"/>
    </xf>
    <xf numFmtId="0" fontId="0" fillId="0" borderId="0" xfId="0" applyAlignment="1">
      <alignment horizontal="left" wrapText="1"/>
    </xf>
    <xf numFmtId="164" fontId="0" fillId="0" borderId="0" xfId="0" applyNumberFormat="1" applyAlignment="1">
      <alignment horizontal="right" wrapText="1"/>
    </xf>
    <xf numFmtId="165" fontId="0" fillId="0" borderId="0" xfId="0" applyNumberFormat="1" applyAlignment="1">
      <alignment horizontal="right" wrapText="1"/>
    </xf>
    <xf numFmtId="0" fontId="0" fillId="5" borderId="1" xfId="0" applyFill="1" applyBorder="1"/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548235"/>
      <rgbColor rgb="FF800080"/>
      <rgbColor rgb="FF008080"/>
      <rgbColor rgb="FFC6C6C6"/>
      <rgbColor rgb="FF808080"/>
      <rgbColor rgb="FF8FAADC"/>
      <rgbColor rgb="FF7030A0"/>
      <rgbColor rgb="FFF2F2F2"/>
      <rgbColor rgb="FFDEEBF7"/>
      <rgbColor rgb="FF660066"/>
      <rgbColor rgb="FFFF8080"/>
      <rgbColor rgb="FF0070C0"/>
      <rgbColor rgb="FFD0CE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2"/>
      <rgbColor rgb="FFE2F0D9"/>
      <rgbColor rgb="FFFFFF99"/>
      <rgbColor rgb="FFD9D9D9"/>
      <rgbColor rgb="FFFF99CC"/>
      <rgbColor rgb="FF9966FF"/>
      <rgbColor rgb="FFF8CBAD"/>
      <rgbColor rgb="FF3366FF"/>
      <rgbColor rgb="FF33CCCC"/>
      <rgbColor rgb="FF92D050"/>
      <rgbColor rgb="FFFFCC00"/>
      <rgbColor rgb="FFFF9900"/>
      <rgbColor rgb="FFFF6600"/>
      <rgbColor rgb="FF7F7F7F"/>
      <rgbColor rgb="FFAFABAB"/>
      <rgbColor rgb="FF003366"/>
      <rgbColor rgb="FF70AD47"/>
      <rgbColor rgb="FF003300"/>
      <rgbColor rgb="FF333300"/>
      <rgbColor rgb="FF993300"/>
      <rgbColor rgb="FF993366"/>
      <rgbColor rgb="FF333399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2"/>
  <sheetViews>
    <sheetView tabSelected="1" topLeftCell="K1" zoomScaleNormal="100" workbookViewId="0">
      <selection activeCell="Q11" sqref="Q11"/>
    </sheetView>
  </sheetViews>
  <sheetFormatPr baseColWidth="10" defaultColWidth="8.5703125" defaultRowHeight="15" x14ac:dyDescent="0.25"/>
  <cols>
    <col min="1" max="1" width="7.42578125" style="1" customWidth="1"/>
    <col min="2" max="2" width="10.7109375" style="2" bestFit="1" customWidth="1"/>
    <col min="3" max="3" width="7.42578125" style="3" customWidth="1"/>
    <col min="4" max="4" width="7" style="3" customWidth="1"/>
    <col min="5" max="5" width="6.5703125" style="3" bestFit="1" customWidth="1"/>
    <col min="6" max="6" width="9" style="1" customWidth="1"/>
    <col min="7" max="7" width="9.28515625" style="3" customWidth="1"/>
    <col min="8" max="8" width="11.28515625" style="1" customWidth="1"/>
    <col min="9" max="9" width="32.28515625" style="3" customWidth="1"/>
    <col min="10" max="10" width="15.85546875" style="3" customWidth="1"/>
    <col min="11" max="11" width="9.140625" style="3" customWidth="1"/>
    <col min="12" max="12" width="7.5703125" style="1" customWidth="1"/>
    <col min="13" max="13" width="18.140625" style="3" customWidth="1"/>
    <col min="14" max="14" width="9.42578125" style="3" customWidth="1"/>
    <col min="15" max="15" width="8.5703125" style="4" customWidth="1"/>
    <col min="16" max="16" width="12.85546875" style="3" customWidth="1"/>
    <col min="17" max="17" width="14" style="3" customWidth="1"/>
    <col min="18" max="18" width="20.85546875" style="3" customWidth="1"/>
    <col min="19" max="19" width="11" style="1" customWidth="1"/>
    <col min="20" max="20" width="13.140625" style="1" customWidth="1"/>
    <col min="21" max="22" width="14" style="5" customWidth="1"/>
    <col min="23" max="23" width="14.140625" style="3" customWidth="1"/>
    <col min="24" max="24" width="10.7109375" style="3" customWidth="1"/>
    <col min="25" max="25" width="11.140625" style="3" customWidth="1"/>
    <col min="26" max="26" width="12.28515625" style="3" customWidth="1"/>
    <col min="27" max="27" width="11.5703125" style="3" customWidth="1"/>
    <col min="28" max="28" width="12.28515625" style="3" customWidth="1"/>
    <col min="29" max="29" width="11.5703125" style="6" customWidth="1"/>
    <col min="30" max="30" width="17.42578125" style="3" customWidth="1"/>
    <col min="31" max="31" width="12.42578125" style="3" customWidth="1"/>
    <col min="32" max="32" width="12.85546875" style="3" customWidth="1"/>
    <col min="33" max="34" width="12.42578125" style="3" customWidth="1"/>
    <col min="35" max="35" width="12.140625" style="3" customWidth="1"/>
    <col min="36" max="36" width="12.85546875" style="3" customWidth="1"/>
    <col min="37" max="37" width="13" style="3" customWidth="1"/>
    <col min="38" max="38" width="18.85546875" style="3" customWidth="1"/>
    <col min="39" max="39" width="8.7109375" style="3" customWidth="1"/>
    <col min="40" max="40" width="10" style="3" customWidth="1"/>
    <col min="41" max="41" width="13" style="3" customWidth="1"/>
    <col min="42" max="43" width="8.42578125" style="3" customWidth="1"/>
    <col min="44" max="44" width="15.5703125" style="3" customWidth="1"/>
    <col min="45" max="45" width="15.42578125" style="3" customWidth="1"/>
    <col min="46" max="46" width="15.85546875" style="3" customWidth="1"/>
  </cols>
  <sheetData>
    <row r="1" spans="1:46" s="7" customFormat="1" ht="32.25" customHeight="1" x14ac:dyDescent="0.25">
      <c r="A1" s="9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2" t="s">
        <v>5</v>
      </c>
      <c r="G1" s="11" t="s">
        <v>6</v>
      </c>
      <c r="H1" s="12" t="s">
        <v>7</v>
      </c>
      <c r="I1" s="10" t="s">
        <v>8</v>
      </c>
      <c r="J1" s="11" t="s">
        <v>9</v>
      </c>
      <c r="K1" s="11" t="s">
        <v>10</v>
      </c>
      <c r="L1" s="12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2" t="s">
        <v>18</v>
      </c>
      <c r="T1" s="12" t="s">
        <v>19</v>
      </c>
      <c r="U1" s="13" t="s">
        <v>20</v>
      </c>
      <c r="V1" s="13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4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5" t="s">
        <v>41</v>
      </c>
      <c r="AQ1" s="15" t="s">
        <v>162</v>
      </c>
      <c r="AR1" s="15" t="s">
        <v>42</v>
      </c>
      <c r="AS1" s="11" t="s">
        <v>43</v>
      </c>
      <c r="AT1" s="11" t="s">
        <v>44</v>
      </c>
    </row>
    <row r="2" spans="1:46" ht="18.75" customHeight="1" x14ac:dyDescent="0.25">
      <c r="A2" s="16">
        <v>1</v>
      </c>
      <c r="B2" s="17" t="s">
        <v>45</v>
      </c>
      <c r="C2" s="17" t="s">
        <v>46</v>
      </c>
      <c r="D2" s="16" t="b">
        <f>TRUE()</f>
        <v>1</v>
      </c>
      <c r="E2" s="16" t="b">
        <f>TRUE()</f>
        <v>1</v>
      </c>
      <c r="F2" s="16">
        <v>0</v>
      </c>
      <c r="G2" s="18" t="s">
        <v>47</v>
      </c>
      <c r="H2" s="16">
        <v>1</v>
      </c>
      <c r="I2" s="17" t="s">
        <v>48</v>
      </c>
      <c r="J2" s="17" t="s">
        <v>49</v>
      </c>
      <c r="K2" s="17" t="s">
        <v>50</v>
      </c>
      <c r="L2" s="16">
        <v>10</v>
      </c>
      <c r="M2" s="17" t="s">
        <v>51</v>
      </c>
      <c r="N2" s="17" t="s">
        <v>52</v>
      </c>
      <c r="O2" s="19" t="s">
        <v>53</v>
      </c>
      <c r="P2" s="17" t="s">
        <v>54</v>
      </c>
      <c r="Q2" s="17" t="s">
        <v>55</v>
      </c>
      <c r="R2" s="17" t="s">
        <v>56</v>
      </c>
      <c r="S2" s="16">
        <v>1</v>
      </c>
      <c r="T2" s="16">
        <v>1</v>
      </c>
      <c r="U2" s="20">
        <v>0.65</v>
      </c>
      <c r="V2" s="21">
        <v>1</v>
      </c>
      <c r="W2" s="17" t="s">
        <v>55</v>
      </c>
      <c r="X2" s="17" t="s">
        <v>57</v>
      </c>
      <c r="Y2" s="17" t="s">
        <v>57</v>
      </c>
      <c r="Z2" s="17" t="s">
        <v>57</v>
      </c>
      <c r="AA2" s="17" t="s">
        <v>57</v>
      </c>
      <c r="AB2" s="17" t="s">
        <v>55</v>
      </c>
      <c r="AC2" s="21">
        <v>9.1999999999999998E-2</v>
      </c>
      <c r="AD2" s="17" t="s">
        <v>55</v>
      </c>
      <c r="AE2" s="17" t="s">
        <v>57</v>
      </c>
      <c r="AF2" s="17" t="s">
        <v>58</v>
      </c>
      <c r="AG2" s="17" t="s">
        <v>58</v>
      </c>
      <c r="AH2" s="17" t="s">
        <v>58</v>
      </c>
      <c r="AI2" s="17" t="s">
        <v>58</v>
      </c>
      <c r="AJ2" s="17" t="s">
        <v>59</v>
      </c>
      <c r="AK2" s="17" t="s">
        <v>60</v>
      </c>
      <c r="AL2" s="17" t="s">
        <v>57</v>
      </c>
      <c r="AM2" s="17" t="s">
        <v>57</v>
      </c>
      <c r="AN2" s="17" t="s">
        <v>61</v>
      </c>
      <c r="AO2" s="17" t="s">
        <v>62</v>
      </c>
      <c r="AP2" s="17" t="s">
        <v>62</v>
      </c>
      <c r="AQ2" s="17" t="s">
        <v>62</v>
      </c>
      <c r="AR2" s="30" t="s">
        <v>161</v>
      </c>
      <c r="AS2" s="17" t="s">
        <v>64</v>
      </c>
      <c r="AT2" s="17" t="s">
        <v>65</v>
      </c>
    </row>
    <row r="3" spans="1:46" ht="18.75" customHeight="1" x14ac:dyDescent="0.25">
      <c r="A3" s="16">
        <v>2</v>
      </c>
      <c r="B3" s="17" t="s">
        <v>66</v>
      </c>
      <c r="C3" s="17" t="s">
        <v>46</v>
      </c>
      <c r="D3" s="16" t="b">
        <f>TRUE()</f>
        <v>1</v>
      </c>
      <c r="E3" s="16" t="b">
        <f>TRUE()</f>
        <v>1</v>
      </c>
      <c r="F3" s="16">
        <v>0</v>
      </c>
      <c r="G3" s="18" t="s">
        <v>47</v>
      </c>
      <c r="H3" s="16">
        <v>1</v>
      </c>
      <c r="I3" s="17" t="s">
        <v>48</v>
      </c>
      <c r="J3" s="17" t="s">
        <v>49</v>
      </c>
      <c r="K3" s="17" t="s">
        <v>50</v>
      </c>
      <c r="L3" s="16">
        <v>10</v>
      </c>
      <c r="M3" s="17" t="s">
        <v>51</v>
      </c>
      <c r="N3" s="17" t="s">
        <v>52</v>
      </c>
      <c r="O3" s="19" t="s">
        <v>53</v>
      </c>
      <c r="P3" s="17" t="s">
        <v>54</v>
      </c>
      <c r="Q3" s="17" t="s">
        <v>55</v>
      </c>
      <c r="R3" s="17" t="s">
        <v>56</v>
      </c>
      <c r="S3" s="16">
        <v>1</v>
      </c>
      <c r="T3" s="16">
        <v>1</v>
      </c>
      <c r="U3" s="20">
        <v>0.65</v>
      </c>
      <c r="V3" s="21">
        <v>1</v>
      </c>
      <c r="W3" s="17" t="s">
        <v>55</v>
      </c>
      <c r="X3" s="17" t="s">
        <v>57</v>
      </c>
      <c r="Y3" s="17" t="s">
        <v>57</v>
      </c>
      <c r="Z3" s="17" t="s">
        <v>57</v>
      </c>
      <c r="AA3" s="17" t="s">
        <v>57</v>
      </c>
      <c r="AB3" s="17" t="s">
        <v>55</v>
      </c>
      <c r="AC3" s="21">
        <v>9.1999999999999998E-2</v>
      </c>
      <c r="AD3" s="17" t="s">
        <v>55</v>
      </c>
      <c r="AE3" s="17" t="s">
        <v>57</v>
      </c>
      <c r="AF3" s="17" t="s">
        <v>58</v>
      </c>
      <c r="AG3" s="17" t="s">
        <v>58</v>
      </c>
      <c r="AH3" s="17" t="s">
        <v>58</v>
      </c>
      <c r="AI3" s="17" t="s">
        <v>58</v>
      </c>
      <c r="AJ3" s="17" t="s">
        <v>59</v>
      </c>
      <c r="AK3" s="17" t="s">
        <v>60</v>
      </c>
      <c r="AL3" s="17" t="s">
        <v>57</v>
      </c>
      <c r="AM3" s="17" t="s">
        <v>57</v>
      </c>
      <c r="AN3" s="17" t="s">
        <v>61</v>
      </c>
      <c r="AO3" s="17" t="s">
        <v>67</v>
      </c>
      <c r="AP3" s="17" t="s">
        <v>62</v>
      </c>
      <c r="AQ3" s="17" t="s">
        <v>62</v>
      </c>
      <c r="AR3" s="30" t="s">
        <v>161</v>
      </c>
      <c r="AS3" s="17" t="s">
        <v>64</v>
      </c>
      <c r="AT3" s="17" t="s">
        <v>65</v>
      </c>
    </row>
    <row r="4" spans="1:46" ht="18.75" customHeight="1" x14ac:dyDescent="0.25">
      <c r="A4" s="16">
        <v>3</v>
      </c>
      <c r="B4" s="17" t="s">
        <v>68</v>
      </c>
      <c r="C4" s="17" t="s">
        <v>46</v>
      </c>
      <c r="D4" s="16" t="b">
        <f>TRUE()</f>
        <v>1</v>
      </c>
      <c r="E4" s="16" t="b">
        <f>TRUE()</f>
        <v>1</v>
      </c>
      <c r="F4" s="16">
        <v>0</v>
      </c>
      <c r="G4" s="18" t="s">
        <v>47</v>
      </c>
      <c r="H4" s="16">
        <v>1</v>
      </c>
      <c r="I4" s="17" t="s">
        <v>48</v>
      </c>
      <c r="J4" s="17" t="s">
        <v>49</v>
      </c>
      <c r="K4" s="17" t="s">
        <v>50</v>
      </c>
      <c r="L4" s="16">
        <v>10</v>
      </c>
      <c r="M4" s="17" t="s">
        <v>51</v>
      </c>
      <c r="N4" s="17" t="s">
        <v>52</v>
      </c>
      <c r="O4" s="19" t="s">
        <v>53</v>
      </c>
      <c r="P4" s="17" t="s">
        <v>54</v>
      </c>
      <c r="Q4" s="17" t="s">
        <v>55</v>
      </c>
      <c r="R4" s="17" t="s">
        <v>56</v>
      </c>
      <c r="S4" s="16">
        <v>1</v>
      </c>
      <c r="T4" s="16">
        <v>1</v>
      </c>
      <c r="U4" s="20">
        <v>0.65</v>
      </c>
      <c r="V4" s="21">
        <v>1</v>
      </c>
      <c r="W4" s="17" t="s">
        <v>55</v>
      </c>
      <c r="X4" s="17" t="s">
        <v>57</v>
      </c>
      <c r="Y4" s="17" t="s">
        <v>57</v>
      </c>
      <c r="Z4" s="17" t="s">
        <v>57</v>
      </c>
      <c r="AA4" s="17" t="s">
        <v>57</v>
      </c>
      <c r="AB4" s="17" t="s">
        <v>55</v>
      </c>
      <c r="AC4" s="21">
        <v>9.1999999999999998E-2</v>
      </c>
      <c r="AD4" s="17" t="s">
        <v>55</v>
      </c>
      <c r="AE4" s="17" t="s">
        <v>57</v>
      </c>
      <c r="AF4" s="17" t="s">
        <v>58</v>
      </c>
      <c r="AG4" s="17" t="s">
        <v>58</v>
      </c>
      <c r="AH4" s="17" t="s">
        <v>58</v>
      </c>
      <c r="AI4" s="17" t="s">
        <v>58</v>
      </c>
      <c r="AJ4" s="17" t="s">
        <v>59</v>
      </c>
      <c r="AK4" s="17" t="s">
        <v>60</v>
      </c>
      <c r="AL4" s="17" t="s">
        <v>57</v>
      </c>
      <c r="AM4" s="17" t="s">
        <v>57</v>
      </c>
      <c r="AN4" s="17" t="s">
        <v>61</v>
      </c>
      <c r="AO4" s="17" t="s">
        <v>62</v>
      </c>
      <c r="AP4" s="17" t="s">
        <v>69</v>
      </c>
      <c r="AQ4" s="17" t="s">
        <v>62</v>
      </c>
      <c r="AR4" s="30" t="s">
        <v>161</v>
      </c>
      <c r="AS4" s="17" t="s">
        <v>64</v>
      </c>
      <c r="AT4" s="17" t="s">
        <v>65</v>
      </c>
    </row>
    <row r="5" spans="1:46" ht="18.75" customHeight="1" x14ac:dyDescent="0.25">
      <c r="A5" s="16">
        <v>4</v>
      </c>
      <c r="B5" s="17" t="s">
        <v>70</v>
      </c>
      <c r="C5" s="17" t="s">
        <v>46</v>
      </c>
      <c r="D5" s="16" t="b">
        <f>TRUE()</f>
        <v>1</v>
      </c>
      <c r="E5" s="16" t="b">
        <f>TRUE()</f>
        <v>1</v>
      </c>
      <c r="F5" s="16">
        <v>0</v>
      </c>
      <c r="G5" s="18" t="s">
        <v>47</v>
      </c>
      <c r="H5" s="16">
        <v>1</v>
      </c>
      <c r="I5" s="17" t="s">
        <v>48</v>
      </c>
      <c r="J5" s="17" t="s">
        <v>49</v>
      </c>
      <c r="K5" s="17" t="s">
        <v>50</v>
      </c>
      <c r="L5" s="16">
        <v>10</v>
      </c>
      <c r="M5" s="17" t="s">
        <v>51</v>
      </c>
      <c r="N5" s="17" t="s">
        <v>52</v>
      </c>
      <c r="O5" s="19" t="s">
        <v>53</v>
      </c>
      <c r="P5" s="17" t="s">
        <v>54</v>
      </c>
      <c r="Q5" s="17" t="s">
        <v>55</v>
      </c>
      <c r="R5" s="17" t="s">
        <v>56</v>
      </c>
      <c r="S5" s="16">
        <v>1</v>
      </c>
      <c r="T5" s="16">
        <v>1</v>
      </c>
      <c r="U5" s="20">
        <v>0.65</v>
      </c>
      <c r="V5" s="21">
        <v>1</v>
      </c>
      <c r="W5" s="17" t="s">
        <v>55</v>
      </c>
      <c r="X5" s="17" t="s">
        <v>57</v>
      </c>
      <c r="Y5" s="17" t="s">
        <v>57</v>
      </c>
      <c r="Z5" s="17" t="s">
        <v>57</v>
      </c>
      <c r="AA5" s="17" t="s">
        <v>57</v>
      </c>
      <c r="AB5" s="17" t="s">
        <v>55</v>
      </c>
      <c r="AC5" s="21">
        <v>9.1999999999999998E-2</v>
      </c>
      <c r="AD5" s="17" t="s">
        <v>55</v>
      </c>
      <c r="AE5" s="17" t="s">
        <v>57</v>
      </c>
      <c r="AF5" s="17" t="s">
        <v>58</v>
      </c>
      <c r="AG5" s="17" t="s">
        <v>58</v>
      </c>
      <c r="AH5" s="17" t="s">
        <v>58</v>
      </c>
      <c r="AI5" s="17" t="s">
        <v>58</v>
      </c>
      <c r="AJ5" s="17" t="s">
        <v>59</v>
      </c>
      <c r="AK5" s="17" t="s">
        <v>60</v>
      </c>
      <c r="AL5" s="17" t="s">
        <v>57</v>
      </c>
      <c r="AM5" s="17" t="s">
        <v>57</v>
      </c>
      <c r="AN5" s="17" t="s">
        <v>61</v>
      </c>
      <c r="AO5" s="17" t="s">
        <v>67</v>
      </c>
      <c r="AP5" s="17" t="s">
        <v>69</v>
      </c>
      <c r="AQ5" s="17" t="s">
        <v>62</v>
      </c>
      <c r="AR5" s="30" t="s">
        <v>161</v>
      </c>
      <c r="AS5" s="17" t="s">
        <v>64</v>
      </c>
      <c r="AT5" s="17" t="s">
        <v>65</v>
      </c>
    </row>
    <row r="6" spans="1:46" ht="18.75" customHeight="1" x14ac:dyDescent="0.25">
      <c r="A6" s="22">
        <v>5</v>
      </c>
      <c r="B6" s="23" t="s">
        <v>71</v>
      </c>
      <c r="C6" s="23" t="s">
        <v>46</v>
      </c>
      <c r="D6" s="22" t="b">
        <f>TRUE()</f>
        <v>1</v>
      </c>
      <c r="E6" s="22" t="b">
        <f>TRUE()</f>
        <v>1</v>
      </c>
      <c r="F6" s="22">
        <v>0</v>
      </c>
      <c r="G6" s="22" t="b">
        <f>FALSE()</f>
        <v>0</v>
      </c>
      <c r="H6" s="22">
        <v>1</v>
      </c>
      <c r="I6" s="23" t="s">
        <v>72</v>
      </c>
      <c r="J6" s="23" t="s">
        <v>49</v>
      </c>
      <c r="K6" s="23" t="s">
        <v>50</v>
      </c>
      <c r="L6" s="22">
        <v>1</v>
      </c>
      <c r="M6" s="23" t="s">
        <v>51</v>
      </c>
      <c r="N6" s="23" t="s">
        <v>52</v>
      </c>
      <c r="O6" s="24" t="s">
        <v>53</v>
      </c>
      <c r="P6" s="23" t="s">
        <v>54</v>
      </c>
      <c r="Q6" s="23" t="s">
        <v>55</v>
      </c>
      <c r="R6" s="23" t="s">
        <v>56</v>
      </c>
      <c r="S6" s="22">
        <v>0</v>
      </c>
      <c r="T6" s="22">
        <v>0</v>
      </c>
      <c r="U6" s="25">
        <v>0.4</v>
      </c>
      <c r="V6" s="26">
        <v>1.5</v>
      </c>
      <c r="W6" s="23" t="s">
        <v>55</v>
      </c>
      <c r="X6" s="23" t="s">
        <v>57</v>
      </c>
      <c r="Y6" s="23" t="s">
        <v>57</v>
      </c>
      <c r="Z6" s="23" t="s">
        <v>57</v>
      </c>
      <c r="AA6" s="23" t="s">
        <v>57</v>
      </c>
      <c r="AB6" s="23" t="s">
        <v>55</v>
      </c>
      <c r="AC6" s="26">
        <v>9.1999999999999998E-2</v>
      </c>
      <c r="AD6" s="23" t="s">
        <v>55</v>
      </c>
      <c r="AE6" s="23" t="s">
        <v>57</v>
      </c>
      <c r="AF6" s="23" t="s">
        <v>58</v>
      </c>
      <c r="AG6" s="23" t="s">
        <v>58</v>
      </c>
      <c r="AH6" s="23" t="s">
        <v>58</v>
      </c>
      <c r="AI6" s="23" t="s">
        <v>58</v>
      </c>
      <c r="AJ6" s="23" t="s">
        <v>59</v>
      </c>
      <c r="AK6" s="23" t="s">
        <v>60</v>
      </c>
      <c r="AL6" s="23" t="s">
        <v>57</v>
      </c>
      <c r="AM6" s="23" t="s">
        <v>57</v>
      </c>
      <c r="AN6" s="23" t="s">
        <v>61</v>
      </c>
      <c r="AO6" s="23" t="s">
        <v>62</v>
      </c>
      <c r="AP6" s="23" t="s">
        <v>62</v>
      </c>
      <c r="AQ6" s="17" t="s">
        <v>62</v>
      </c>
      <c r="AR6" s="23" t="s">
        <v>63</v>
      </c>
      <c r="AS6" s="23" t="s">
        <v>64</v>
      </c>
      <c r="AT6" s="23" t="s">
        <v>65</v>
      </c>
    </row>
    <row r="7" spans="1:46" ht="18.75" customHeight="1" x14ac:dyDescent="0.25">
      <c r="A7" s="22">
        <v>6</v>
      </c>
      <c r="B7" s="23" t="s">
        <v>73</v>
      </c>
      <c r="C7" s="23" t="s">
        <v>46</v>
      </c>
      <c r="D7" s="22" t="b">
        <f>TRUE()</f>
        <v>1</v>
      </c>
      <c r="E7" s="22" t="b">
        <f>TRUE()</f>
        <v>1</v>
      </c>
      <c r="F7" s="22">
        <v>0</v>
      </c>
      <c r="G7" s="22" t="b">
        <f>FALSE()</f>
        <v>0</v>
      </c>
      <c r="H7" s="22">
        <v>1</v>
      </c>
      <c r="I7" s="23" t="s">
        <v>72</v>
      </c>
      <c r="J7" s="23" t="s">
        <v>49</v>
      </c>
      <c r="K7" s="23" t="s">
        <v>50</v>
      </c>
      <c r="L7" s="22">
        <v>1</v>
      </c>
      <c r="M7" s="23" t="s">
        <v>51</v>
      </c>
      <c r="N7" s="23" t="s">
        <v>52</v>
      </c>
      <c r="O7" s="24" t="s">
        <v>53</v>
      </c>
      <c r="P7" s="23" t="s">
        <v>54</v>
      </c>
      <c r="Q7" s="23" t="s">
        <v>55</v>
      </c>
      <c r="R7" s="23" t="s">
        <v>56</v>
      </c>
      <c r="S7" s="22">
        <v>0</v>
      </c>
      <c r="T7" s="22">
        <v>0</v>
      </c>
      <c r="U7" s="25">
        <v>0.4</v>
      </c>
      <c r="V7" s="26">
        <v>1.5</v>
      </c>
      <c r="W7" s="23" t="s">
        <v>55</v>
      </c>
      <c r="X7" s="23" t="s">
        <v>57</v>
      </c>
      <c r="Y7" s="23" t="s">
        <v>57</v>
      </c>
      <c r="Z7" s="23" t="s">
        <v>57</v>
      </c>
      <c r="AA7" s="23" t="s">
        <v>57</v>
      </c>
      <c r="AB7" s="23" t="s">
        <v>55</v>
      </c>
      <c r="AC7" s="26">
        <v>9.1999999999999998E-2</v>
      </c>
      <c r="AD7" s="23" t="s">
        <v>55</v>
      </c>
      <c r="AE7" s="23" t="s">
        <v>57</v>
      </c>
      <c r="AF7" s="23" t="s">
        <v>58</v>
      </c>
      <c r="AG7" s="23" t="s">
        <v>58</v>
      </c>
      <c r="AH7" s="23" t="s">
        <v>58</v>
      </c>
      <c r="AI7" s="23" t="s">
        <v>58</v>
      </c>
      <c r="AJ7" s="23" t="s">
        <v>59</v>
      </c>
      <c r="AK7" s="23" t="s">
        <v>60</v>
      </c>
      <c r="AL7" s="23" t="s">
        <v>57</v>
      </c>
      <c r="AM7" s="23" t="s">
        <v>57</v>
      </c>
      <c r="AN7" s="23" t="s">
        <v>61</v>
      </c>
      <c r="AO7" s="23" t="s">
        <v>67</v>
      </c>
      <c r="AP7" s="23" t="s">
        <v>62</v>
      </c>
      <c r="AQ7" s="17" t="s">
        <v>62</v>
      </c>
      <c r="AR7" s="23" t="s">
        <v>63</v>
      </c>
      <c r="AS7" s="23" t="s">
        <v>64</v>
      </c>
      <c r="AT7" s="23" t="s">
        <v>65</v>
      </c>
    </row>
    <row r="8" spans="1:46" ht="18.75" customHeight="1" x14ac:dyDescent="0.25">
      <c r="A8" s="22">
        <v>7</v>
      </c>
      <c r="B8" s="23" t="s">
        <v>74</v>
      </c>
      <c r="C8" s="23" t="s">
        <v>46</v>
      </c>
      <c r="D8" s="22" t="b">
        <f>TRUE()</f>
        <v>1</v>
      </c>
      <c r="E8" s="22" t="b">
        <f>TRUE()</f>
        <v>1</v>
      </c>
      <c r="F8" s="22">
        <v>0</v>
      </c>
      <c r="G8" s="22" t="b">
        <f>FALSE()</f>
        <v>0</v>
      </c>
      <c r="H8" s="22">
        <v>1</v>
      </c>
      <c r="I8" s="23" t="s">
        <v>72</v>
      </c>
      <c r="J8" s="23" t="s">
        <v>49</v>
      </c>
      <c r="K8" s="23" t="s">
        <v>50</v>
      </c>
      <c r="L8" s="22">
        <v>1</v>
      </c>
      <c r="M8" s="23" t="s">
        <v>51</v>
      </c>
      <c r="N8" s="23" t="s">
        <v>52</v>
      </c>
      <c r="O8" s="24" t="s">
        <v>53</v>
      </c>
      <c r="P8" s="23" t="s">
        <v>54</v>
      </c>
      <c r="Q8" s="23" t="s">
        <v>55</v>
      </c>
      <c r="R8" s="23" t="s">
        <v>56</v>
      </c>
      <c r="S8" s="22">
        <v>0</v>
      </c>
      <c r="T8" s="22">
        <v>0</v>
      </c>
      <c r="U8" s="25">
        <v>0.4</v>
      </c>
      <c r="V8" s="26">
        <v>1.5</v>
      </c>
      <c r="W8" s="23" t="s">
        <v>55</v>
      </c>
      <c r="X8" s="23" t="s">
        <v>57</v>
      </c>
      <c r="Y8" s="23" t="s">
        <v>57</v>
      </c>
      <c r="Z8" s="23" t="s">
        <v>57</v>
      </c>
      <c r="AA8" s="23" t="s">
        <v>57</v>
      </c>
      <c r="AB8" s="23" t="s">
        <v>55</v>
      </c>
      <c r="AC8" s="26">
        <v>9.1999999999999998E-2</v>
      </c>
      <c r="AD8" s="23" t="s">
        <v>55</v>
      </c>
      <c r="AE8" s="23" t="s">
        <v>57</v>
      </c>
      <c r="AF8" s="23" t="s">
        <v>58</v>
      </c>
      <c r="AG8" s="23" t="s">
        <v>58</v>
      </c>
      <c r="AH8" s="23" t="s">
        <v>58</v>
      </c>
      <c r="AI8" s="23" t="s">
        <v>58</v>
      </c>
      <c r="AJ8" s="23" t="s">
        <v>59</v>
      </c>
      <c r="AK8" s="23" t="s">
        <v>60</v>
      </c>
      <c r="AL8" s="23" t="s">
        <v>57</v>
      </c>
      <c r="AM8" s="23" t="s">
        <v>57</v>
      </c>
      <c r="AN8" s="23" t="s">
        <v>61</v>
      </c>
      <c r="AO8" s="23" t="s">
        <v>62</v>
      </c>
      <c r="AP8" s="23" t="s">
        <v>75</v>
      </c>
      <c r="AQ8" s="17" t="s">
        <v>62</v>
      </c>
      <c r="AR8" s="23" t="s">
        <v>63</v>
      </c>
      <c r="AS8" s="23" t="s">
        <v>64</v>
      </c>
      <c r="AT8" s="23" t="s">
        <v>65</v>
      </c>
    </row>
    <row r="9" spans="1:46" ht="18.75" customHeight="1" x14ac:dyDescent="0.25">
      <c r="A9" s="22">
        <v>8</v>
      </c>
      <c r="B9" s="23" t="s">
        <v>76</v>
      </c>
      <c r="C9" s="23" t="s">
        <v>46</v>
      </c>
      <c r="D9" s="22" t="b">
        <f>TRUE()</f>
        <v>1</v>
      </c>
      <c r="E9" s="22" t="b">
        <f>TRUE()</f>
        <v>1</v>
      </c>
      <c r="F9" s="22">
        <v>0</v>
      </c>
      <c r="G9" s="22" t="b">
        <f>FALSE()</f>
        <v>0</v>
      </c>
      <c r="H9" s="22">
        <v>1</v>
      </c>
      <c r="I9" s="23" t="s">
        <v>72</v>
      </c>
      <c r="J9" s="23" t="s">
        <v>49</v>
      </c>
      <c r="K9" s="23" t="s">
        <v>50</v>
      </c>
      <c r="L9" s="22">
        <v>1</v>
      </c>
      <c r="M9" s="23" t="s">
        <v>51</v>
      </c>
      <c r="N9" s="23" t="s">
        <v>52</v>
      </c>
      <c r="O9" s="24" t="s">
        <v>53</v>
      </c>
      <c r="P9" s="23" t="s">
        <v>54</v>
      </c>
      <c r="Q9" s="23" t="s">
        <v>55</v>
      </c>
      <c r="R9" s="23" t="s">
        <v>56</v>
      </c>
      <c r="S9" s="22">
        <v>0</v>
      </c>
      <c r="T9" s="22">
        <v>0</v>
      </c>
      <c r="U9" s="25">
        <v>0.4</v>
      </c>
      <c r="V9" s="26">
        <v>1.5</v>
      </c>
      <c r="W9" s="23" t="s">
        <v>55</v>
      </c>
      <c r="X9" s="23" t="s">
        <v>57</v>
      </c>
      <c r="Y9" s="23" t="s">
        <v>57</v>
      </c>
      <c r="Z9" s="23" t="s">
        <v>57</v>
      </c>
      <c r="AA9" s="23" t="s">
        <v>57</v>
      </c>
      <c r="AB9" s="23" t="s">
        <v>55</v>
      </c>
      <c r="AC9" s="26">
        <v>9.1999999999999998E-2</v>
      </c>
      <c r="AD9" s="23" t="s">
        <v>55</v>
      </c>
      <c r="AE9" s="23" t="s">
        <v>57</v>
      </c>
      <c r="AF9" s="23" t="s">
        <v>58</v>
      </c>
      <c r="AG9" s="23" t="s">
        <v>58</v>
      </c>
      <c r="AH9" s="23" t="s">
        <v>58</v>
      </c>
      <c r="AI9" s="23" t="s">
        <v>58</v>
      </c>
      <c r="AJ9" s="23" t="s">
        <v>59</v>
      </c>
      <c r="AK9" s="23" t="s">
        <v>60</v>
      </c>
      <c r="AL9" s="23" t="s">
        <v>57</v>
      </c>
      <c r="AM9" s="23" t="s">
        <v>57</v>
      </c>
      <c r="AN9" s="23" t="s">
        <v>61</v>
      </c>
      <c r="AO9" s="23" t="s">
        <v>67</v>
      </c>
      <c r="AP9" s="23" t="s">
        <v>75</v>
      </c>
      <c r="AQ9" s="17" t="s">
        <v>62</v>
      </c>
      <c r="AR9" s="23" t="s">
        <v>63</v>
      </c>
      <c r="AS9" s="23" t="s">
        <v>64</v>
      </c>
      <c r="AT9" s="23" t="s">
        <v>65</v>
      </c>
    </row>
    <row r="11" spans="1:46" s="7" customFormat="1" ht="270" customHeight="1" x14ac:dyDescent="0.25">
      <c r="A11" s="8"/>
      <c r="B11" s="27"/>
      <c r="C11" s="4" t="s">
        <v>77</v>
      </c>
      <c r="D11" s="4" t="s">
        <v>78</v>
      </c>
      <c r="E11" s="4" t="s">
        <v>79</v>
      </c>
      <c r="F11" s="8" t="s">
        <v>80</v>
      </c>
      <c r="G11" s="4" t="s">
        <v>81</v>
      </c>
      <c r="H11" s="8" t="s">
        <v>82</v>
      </c>
      <c r="I11" s="4" t="s">
        <v>83</v>
      </c>
      <c r="J11" s="4" t="s">
        <v>84</v>
      </c>
      <c r="K11" s="4" t="s">
        <v>85</v>
      </c>
      <c r="L11" s="8" t="s">
        <v>86</v>
      </c>
      <c r="M11" s="4" t="s">
        <v>87</v>
      </c>
      <c r="N11" s="4" t="s">
        <v>88</v>
      </c>
      <c r="O11" s="4" t="s">
        <v>89</v>
      </c>
      <c r="P11" s="4" t="s">
        <v>90</v>
      </c>
      <c r="Q11" s="4" t="s">
        <v>91</v>
      </c>
      <c r="R11" s="4" t="s">
        <v>92</v>
      </c>
      <c r="S11" s="8" t="s">
        <v>93</v>
      </c>
      <c r="T11" s="8" t="s">
        <v>94</v>
      </c>
      <c r="U11" s="28" t="s">
        <v>95</v>
      </c>
      <c r="V11" s="28" t="s">
        <v>96</v>
      </c>
      <c r="W11" s="4" t="s">
        <v>97</v>
      </c>
      <c r="X11" s="4" t="s">
        <v>98</v>
      </c>
      <c r="Y11" s="4" t="s">
        <v>99</v>
      </c>
      <c r="Z11" s="4" t="s">
        <v>100</v>
      </c>
      <c r="AA11" s="4" t="s">
        <v>101</v>
      </c>
      <c r="AB11" s="4" t="s">
        <v>102</v>
      </c>
      <c r="AC11" s="29" t="s">
        <v>103</v>
      </c>
      <c r="AD11" s="4" t="s">
        <v>104</v>
      </c>
      <c r="AE11" s="4" t="s">
        <v>105</v>
      </c>
      <c r="AF11" s="4" t="s">
        <v>106</v>
      </c>
      <c r="AG11" s="4" t="s">
        <v>107</v>
      </c>
      <c r="AH11" s="4" t="s">
        <v>108</v>
      </c>
      <c r="AI11" s="4" t="s">
        <v>109</v>
      </c>
      <c r="AJ11" s="4" t="s">
        <v>110</v>
      </c>
      <c r="AK11" s="4" t="s">
        <v>111</v>
      </c>
      <c r="AL11" s="4" t="s">
        <v>112</v>
      </c>
      <c r="AM11" s="4" t="s">
        <v>113</v>
      </c>
      <c r="AN11" s="4" t="s">
        <v>114</v>
      </c>
      <c r="AO11" s="4" t="s">
        <v>115</v>
      </c>
      <c r="AP11" s="4" t="s">
        <v>116</v>
      </c>
      <c r="AQ11" s="4" t="s">
        <v>163</v>
      </c>
      <c r="AR11" s="4" t="s">
        <v>117</v>
      </c>
      <c r="AS11" s="4" t="s">
        <v>118</v>
      </c>
      <c r="AT11" s="4" t="s">
        <v>119</v>
      </c>
    </row>
    <row r="12" spans="1:46" ht="345" x14ac:dyDescent="0.25">
      <c r="C12" s="4" t="s">
        <v>120</v>
      </c>
      <c r="D12" s="4" t="s">
        <v>121</v>
      </c>
      <c r="E12" s="4" t="s">
        <v>121</v>
      </c>
      <c r="F12" s="4" t="s">
        <v>121</v>
      </c>
      <c r="G12" s="4" t="s">
        <v>122</v>
      </c>
      <c r="H12" s="4" t="s">
        <v>123</v>
      </c>
      <c r="I12" s="4" t="s">
        <v>124</v>
      </c>
      <c r="J12" s="4" t="s">
        <v>125</v>
      </c>
      <c r="K12" s="4" t="s">
        <v>126</v>
      </c>
      <c r="L12" s="4" t="s">
        <v>127</v>
      </c>
      <c r="M12" s="4" t="s">
        <v>128</v>
      </c>
      <c r="N12" s="4" t="s">
        <v>129</v>
      </c>
      <c r="O12" s="4" t="s">
        <v>130</v>
      </c>
      <c r="P12" s="4" t="s">
        <v>131</v>
      </c>
      <c r="Q12" s="4" t="s">
        <v>132</v>
      </c>
      <c r="R12" s="4" t="s">
        <v>133</v>
      </c>
      <c r="S12" s="4" t="s">
        <v>134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139</v>
      </c>
      <c r="Y12" s="4" t="s">
        <v>140</v>
      </c>
      <c r="Z12" s="4" t="s">
        <v>141</v>
      </c>
      <c r="AA12" s="4" t="s">
        <v>142</v>
      </c>
      <c r="AB12" s="4" t="s">
        <v>143</v>
      </c>
      <c r="AC12" s="4" t="s">
        <v>144</v>
      </c>
      <c r="AD12" s="4" t="s">
        <v>145</v>
      </c>
      <c r="AE12" s="4" t="s">
        <v>146</v>
      </c>
      <c r="AF12" s="4" t="s">
        <v>147</v>
      </c>
      <c r="AG12" s="4" t="s">
        <v>148</v>
      </c>
      <c r="AH12" s="4" t="s">
        <v>149</v>
      </c>
      <c r="AI12" s="4" t="s">
        <v>150</v>
      </c>
      <c r="AJ12" s="4" t="s">
        <v>151</v>
      </c>
      <c r="AK12" s="4" t="s">
        <v>152</v>
      </c>
      <c r="AL12" s="4" t="s">
        <v>153</v>
      </c>
      <c r="AM12" s="4" t="s">
        <v>154</v>
      </c>
      <c r="AN12" s="4" t="s">
        <v>155</v>
      </c>
      <c r="AO12" s="4" t="s">
        <v>156</v>
      </c>
      <c r="AP12" s="4" t="s">
        <v>157</v>
      </c>
      <c r="AQ12" s="4"/>
      <c r="AR12" s="4" t="s">
        <v>158</v>
      </c>
      <c r="AS12" s="4" t="s">
        <v>159</v>
      </c>
      <c r="AT12" s="4" t="s">
        <v>160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scenario_definition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Agatha Majcher</cp:lastModifiedBy>
  <cp:revision>1</cp:revision>
  <dcterms:created xsi:type="dcterms:W3CDTF">2026-06-12T09:02:36Z</dcterms:created>
  <dcterms:modified xsi:type="dcterms:W3CDTF">2026-09-15T19:25:29Z</dcterms:modified>
  <dc:language>en-US</dc:language>
</cp:coreProperties>
</file>