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atha.majcher\Downloads\agma0 pypsa-rsa master scenarios-Coal_Flexibilisation\"/>
    </mc:Choice>
  </mc:AlternateContent>
  <xr:revisionPtr revIDLastSave="0" documentId="13_ncr:1_{4FFE4DC6-65D7-4141-BE6D-FF5B2755C4DD}" xr6:coauthVersionLast="47" xr6:coauthVersionMax="47" xr10:uidLastSave="{00000000-0000-0000-0000-000000000000}"/>
  <bookViews>
    <workbookView xWindow="7365" yWindow="-14175" windowWidth="18540" windowHeight="12165" tabRatio="500" xr2:uid="{00000000-000D-0000-FFFF-FFFF00000000}"/>
  </bookViews>
  <sheets>
    <sheet name="scenario_definitio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  <c r="E2" i="1"/>
  <c r="D2" i="1"/>
</calcChain>
</file>

<file path=xl/sharedStrings.xml><?xml version="1.0" encoding="utf-8"?>
<sst xmlns="http://schemas.openxmlformats.org/spreadsheetml/2006/main" count="319" uniqueCount="83">
  <si>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</si>
  <si>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</si>
  <si>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</si>
  <si>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</si>
  <si>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</si>
  <si>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</si>
  <si>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</si>
  <si>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</si>
  <si>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</si>
  <si>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</si>
  <si>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</si>
  <si>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</si>
  <si>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</si>
  <si>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</si>
  <si>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</si>
  <si>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</si>
  <si>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</si>
  <si>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</si>
  <si>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</si>
  <si>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</si>
  <si>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</si>
  <si>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</si>
  <si>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</si>
  <si>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</si>
  <si>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</si>
  <si>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</si>
  <si>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</si>
  <si>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</si>
  <si>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</si>
  <si>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</si>
  <si>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</si>
  <si>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</si>
  <si>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</si>
  <si>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</si>
  <si>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</si>
  <si>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</si>
  <si>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</si>
  <si>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</si>
  <si>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</si>
  <si>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</si>
  <si>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</si>
  <si>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</si>
  <si>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</si>
  <si>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</si>
  <si>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</si>
  <si>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P0_BASE</t>
  </si>
  <si>
    <t>gurobi</t>
  </si>
  <si>
    <t>2025, 2030</t>
  </si>
  <si>
    <t>W_P50</t>
  </si>
  <si>
    <t>SL_0</t>
  </si>
  <si>
    <t>redz_corridors_eia</t>
  </si>
  <si>
    <t>copt</t>
  </si>
  <si>
    <t>LC</t>
  </si>
  <si>
    <t>existing+tdp</t>
  </si>
  <si>
    <t>BASE_PMR1b</t>
  </si>
  <si>
    <t>DELAYED_ESKOM_2035</t>
  </si>
  <si>
    <t>BASE</t>
  </si>
  <si>
    <t>UNC</t>
  </si>
  <si>
    <t>DIESEL_LNG</t>
  </si>
  <si>
    <t>NO_MIN_GAS</t>
  </si>
  <si>
    <t>EAF_60</t>
  </si>
  <si>
    <t>none</t>
  </si>
  <si>
    <t>RES_MRGN_10</t>
  </si>
  <si>
    <t>P0_BASE_R</t>
  </si>
  <si>
    <t>CT_REINVEST</t>
  </si>
  <si>
    <t>P0_CT</t>
  </si>
  <si>
    <t>CT_2030</t>
  </si>
  <si>
    <t>P0_CT_R</t>
  </si>
  <si>
    <t>P1_BASE</t>
  </si>
  <si>
    <t>true</t>
  </si>
  <si>
    <t>2025, 2030, 2035, 2040, 2045, 2050</t>
  </si>
  <si>
    <t>P1_BASE_R</t>
  </si>
  <si>
    <t>P1_CT</t>
  </si>
  <si>
    <t>CT_2050</t>
  </si>
  <si>
    <t>P1_CT_R</t>
  </si>
  <si>
    <t>IRP24_MOD</t>
  </si>
  <si>
    <t>BASE2</t>
  </si>
  <si>
    <t>* takes decommissioning dates from extendable_conventional as unit_commitment is 0 and therefore phase_decommissioning.xls is not used -&gt; same dates as delayed eskom</t>
  </si>
  <si>
    <t>* Eskom numbers reported to Nersa</t>
  </si>
  <si>
    <t>* median year = 2018</t>
  </si>
  <si>
    <t>UNC = no limits set</t>
  </si>
  <si>
    <t>* optimistic value of mostly 60% for coal and  68% mean all  availability per year for 2030</t>
  </si>
  <si>
    <t xml:space="preserve">* coal 52%,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</si>
</sst>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%"/>
    <numFmt numFmtId="165" formatCode="#,##0.0%"/>
  </numFmts>
  <fonts count="3" x14ac:knownFonts="1">
    <font>
      <sz val="11"/>
      <color rgb="FF000000"/>
      <name val="Calibri"/>
      <family val="2"/>
      <charset val="1"/>
    </font>
    <font>
      <sz val="11"/>
      <color rgb="FF3F3F3F"/>
      <name val="Calibri"/>
      <family val="2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3" fontId="0" fillId="0" borderId="0" xfId="0" applyNumberFormat="1" applyAlignment="1">
      <alignment horizontal="right" wrapText="1"/>
    </xf>
    <xf numFmtId="0" fontId="0" fillId="0" borderId="0" xfId="0" applyFill="1"/>
    <xf numFmtId="3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3" fontId="1" fillId="2" borderId="1" xfId="0" applyNumberFormat="1" applyFont="1" applyFill="1" applyBorder="1" applyAlignment="1">
      <alignment horizontal="right" wrapText="1"/>
    </xf>
    <xf numFmtId="164" fontId="1" fillId="2" borderId="1" xfId="0" applyNumberFormat="1" applyFont="1" applyFill="1" applyBorder="1" applyAlignment="1">
      <alignment horizontal="right" wrapText="1"/>
    </xf>
    <xf numFmtId="165" fontId="1" fillId="2" borderId="1" xfId="0" applyNumberFormat="1" applyFont="1" applyFill="1" applyBorder="1" applyAlignment="1">
      <alignment horizontal="right" wrapText="1"/>
    </xf>
    <xf numFmtId="0" fontId="0" fillId="2" borderId="1" xfId="0" applyFill="1" applyBorder="1" applyAlignment="1">
      <alignment horizontal="right" wrapText="1"/>
    </xf>
    <xf numFmtId="3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right" wrapText="1"/>
    </xf>
    <xf numFmtId="0" fontId="1" fillId="3" borderId="1" xfId="0" applyFont="1" applyFill="1" applyBorder="1" applyAlignment="1">
      <alignment horizontal="right" wrapText="1"/>
    </xf>
    <xf numFmtId="164" fontId="0" fillId="3" borderId="1" xfId="0" applyNumberFormat="1" applyFill="1" applyBorder="1" applyAlignment="1">
      <alignment horizontal="right"/>
    </xf>
    <xf numFmtId="4" fontId="0" fillId="3" borderId="1" xfId="0" applyNumberFormat="1" applyFill="1" applyBorder="1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4" borderId="1" xfId="0" applyFont="1" applyFill="1" applyBorder="1" applyAlignment="1">
      <alignment horizontal="right" wrapText="1"/>
    </xf>
    <xf numFmtId="164" fontId="0" fillId="4" borderId="1" xfId="0" applyNumberFormat="1" applyFill="1" applyBorder="1" applyAlignment="1">
      <alignment horizontal="right"/>
    </xf>
    <xf numFmtId="4" fontId="0" fillId="4" borderId="1" xfId="0" applyNumberFormat="1" applyFill="1" applyBorder="1" applyAlignment="1">
      <alignment horizontal="right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right" wrapText="1"/>
    </xf>
    <xf numFmtId="165" fontId="0" fillId="0" borderId="0" xfId="0" applyNumberFormat="1" applyAlignment="1">
      <alignment horizontal="right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6C6C6"/>
      <rgbColor rgb="FF808080"/>
      <rgbColor rgb="FF8FAADC"/>
      <rgbColor rgb="FF7030A0"/>
      <rgbColor rgb="FFF2F2F2"/>
      <rgbColor rgb="FFDEEBF7"/>
      <rgbColor rgb="FF660066"/>
      <rgbColor rgb="FFFF8080"/>
      <rgbColor rgb="FF0070C0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FFF99"/>
      <rgbColor rgb="FFD9D9D9"/>
      <rgbColor rgb="FFFF99CC"/>
      <rgbColor rgb="FF9966FF"/>
      <rgbColor rgb="FFF8CBAD"/>
      <rgbColor rgb="FF3366FF"/>
      <rgbColor rgb="FF33CCCC"/>
      <rgbColor rgb="FF92D050"/>
      <rgbColor rgb="FFFFCC00"/>
      <rgbColor rgb="FFFF9900"/>
      <rgbColor rgb="FFFF6600"/>
      <rgbColor rgb="FF7F7F7F"/>
      <rgbColor rgb="FFAFABAB"/>
      <rgbColor rgb="FF003366"/>
      <rgbColor rgb="FF70AD47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1"/>
  <sheetViews>
    <sheetView tabSelected="1" topLeftCell="AD8" zoomScaleNormal="100" workbookViewId="0">
      <selection activeCell="AU11" sqref="AU11"/>
    </sheetView>
  </sheetViews>
  <sheetFormatPr baseColWidth="10" defaultColWidth="8.5703125" defaultRowHeight="15" x14ac:dyDescent="0.25"/>
  <cols>
    <col min="1" max="1" width="7.42578125" style="1" customWidth="1"/>
    <col min="2" max="2" width="10.7109375" style="2" bestFit="1" customWidth="1"/>
    <col min="3" max="3" width="7.42578125" style="3" customWidth="1"/>
    <col min="4" max="4" width="7" style="3" customWidth="1"/>
    <col min="5" max="5" width="6.5703125" style="3" bestFit="1" customWidth="1"/>
    <col min="6" max="6" width="9" style="1" customWidth="1"/>
    <col min="7" max="7" width="9.28515625" style="3" customWidth="1"/>
    <col min="8" max="8" width="11.28515625" style="1" customWidth="1"/>
    <col min="9" max="9" width="32.28515625" style="3" customWidth="1"/>
    <col min="10" max="10" width="15.85546875" style="3" customWidth="1"/>
    <col min="11" max="11" width="9.140625" style="3" customWidth="1"/>
    <col min="12" max="12" width="7.5703125" style="1" customWidth="1"/>
    <col min="13" max="13" width="18.140625" style="3" customWidth="1"/>
    <col min="14" max="14" width="9.42578125" style="3" customWidth="1"/>
    <col min="15" max="15" width="8.5703125" style="4" customWidth="1"/>
    <col min="16" max="16" width="12.85546875" style="3" customWidth="1"/>
    <col min="17" max="17" width="14" style="3" customWidth="1"/>
    <col min="18" max="18" width="20.85546875" style="3" customWidth="1"/>
    <col min="19" max="19" width="11" style="1" customWidth="1"/>
    <col min="20" max="20" width="13.140625" style="1" customWidth="1"/>
    <col min="21" max="22" width="14" style="5" customWidth="1"/>
    <col min="23" max="23" width="14.140625" style="3" customWidth="1"/>
    <col min="24" max="24" width="10.7109375" style="3" customWidth="1"/>
    <col min="25" max="25" width="11.140625" style="3" customWidth="1"/>
    <col min="26" max="26" width="12.28515625" style="3" customWidth="1"/>
    <col min="27" max="27" width="11.5703125" style="3" customWidth="1"/>
    <col min="28" max="28" width="12.28515625" style="3" customWidth="1"/>
    <col min="29" max="29" width="11.5703125" style="6" customWidth="1"/>
    <col min="30" max="30" width="17.42578125" style="3" customWidth="1"/>
    <col min="31" max="31" width="12.42578125" style="3" customWidth="1"/>
    <col min="32" max="32" width="12.85546875" style="3" customWidth="1"/>
    <col min="33" max="34" width="12.42578125" style="3" customWidth="1"/>
    <col min="35" max="35" width="12.140625" style="3" customWidth="1"/>
    <col min="36" max="36" width="12.85546875" style="3" customWidth="1"/>
    <col min="37" max="37" width="13" style="3" customWidth="1"/>
    <col min="38" max="38" width="18.85546875" style="3" customWidth="1"/>
    <col min="39" max="39" width="8.7109375" style="3" customWidth="1"/>
    <col min="40" max="40" width="10" style="3" customWidth="1"/>
    <col min="41" max="41" width="13" style="3" customWidth="1"/>
    <col min="42" max="42" width="8.42578125" style="3" customWidth="1"/>
    <col min="43" max="43" width="15.5703125" style="3" customWidth="1"/>
    <col min="44" max="44" width="15.42578125" style="3" customWidth="1"/>
    <col min="45" max="45" width="15.85546875" style="3" customWidth="1"/>
  </cols>
  <sheetData>
    <row r="1" spans="1:45" s="7" customFormat="1" ht="32.25" customHeight="1" x14ac:dyDescent="0.25">
      <c r="A1" s="10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2" t="s">
        <v>6</v>
      </c>
      <c r="H1" s="13" t="s">
        <v>7</v>
      </c>
      <c r="I1" s="11" t="s">
        <v>8</v>
      </c>
      <c r="J1" s="12" t="s">
        <v>9</v>
      </c>
      <c r="K1" s="12" t="s">
        <v>10</v>
      </c>
      <c r="L1" s="13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3" t="s">
        <v>18</v>
      </c>
      <c r="T1" s="13" t="s">
        <v>19</v>
      </c>
      <c r="U1" s="14" t="s">
        <v>20</v>
      </c>
      <c r="V1" s="14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5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6" t="s">
        <v>41</v>
      </c>
      <c r="AQ1" s="16" t="s">
        <v>42</v>
      </c>
      <c r="AR1" s="12" t="s">
        <v>43</v>
      </c>
      <c r="AS1" s="12" t="s">
        <v>44</v>
      </c>
    </row>
    <row r="2" spans="1:45" s="9" customFormat="1" ht="18.75" customHeight="1" x14ac:dyDescent="0.25">
      <c r="A2" s="17">
        <v>1</v>
      </c>
      <c r="B2" s="18" t="s">
        <v>45</v>
      </c>
      <c r="C2" s="18" t="s">
        <v>46</v>
      </c>
      <c r="D2" s="17" t="b">
        <f>TRUE()</f>
        <v>1</v>
      </c>
      <c r="E2" s="17" t="b">
        <f>TRUE()</f>
        <v>1</v>
      </c>
      <c r="F2" s="17">
        <v>0</v>
      </c>
      <c r="G2" s="19" t="s">
        <v>69</v>
      </c>
      <c r="H2" s="17">
        <v>1</v>
      </c>
      <c r="I2" s="18" t="s">
        <v>47</v>
      </c>
      <c r="J2" s="18" t="s">
        <v>48</v>
      </c>
      <c r="K2" s="18" t="s">
        <v>49</v>
      </c>
      <c r="L2" s="17">
        <v>10</v>
      </c>
      <c r="M2" s="18" t="s">
        <v>50</v>
      </c>
      <c r="N2" s="18" t="s">
        <v>51</v>
      </c>
      <c r="O2" s="20" t="s">
        <v>52</v>
      </c>
      <c r="P2" s="18" t="s">
        <v>53</v>
      </c>
      <c r="Q2" s="18" t="s">
        <v>54</v>
      </c>
      <c r="R2" s="18" t="s">
        <v>55</v>
      </c>
      <c r="S2" s="17">
        <v>0</v>
      </c>
      <c r="T2" s="17">
        <v>0</v>
      </c>
      <c r="U2" s="21">
        <v>0.4</v>
      </c>
      <c r="V2" s="22">
        <v>1.5</v>
      </c>
      <c r="W2" s="18" t="s">
        <v>54</v>
      </c>
      <c r="X2" s="18" t="s">
        <v>56</v>
      </c>
      <c r="Y2" s="18" t="s">
        <v>56</v>
      </c>
      <c r="Z2" s="18" t="s">
        <v>56</v>
      </c>
      <c r="AA2" s="18" t="s">
        <v>56</v>
      </c>
      <c r="AB2" s="18" t="s">
        <v>54</v>
      </c>
      <c r="AC2" s="22">
        <v>9.1999999999999998E-2</v>
      </c>
      <c r="AD2" s="18" t="s">
        <v>54</v>
      </c>
      <c r="AE2" s="18" t="s">
        <v>56</v>
      </c>
      <c r="AF2" s="18" t="s">
        <v>57</v>
      </c>
      <c r="AG2" s="18" t="s">
        <v>57</v>
      </c>
      <c r="AH2" s="18" t="s">
        <v>57</v>
      </c>
      <c r="AI2" s="18" t="s">
        <v>57</v>
      </c>
      <c r="AJ2" s="18" t="s">
        <v>58</v>
      </c>
      <c r="AK2" s="18" t="s">
        <v>59</v>
      </c>
      <c r="AL2" s="18" t="s">
        <v>56</v>
      </c>
      <c r="AM2" s="18" t="s">
        <v>56</v>
      </c>
      <c r="AN2" s="18" t="s">
        <v>60</v>
      </c>
      <c r="AO2" s="18" t="s">
        <v>61</v>
      </c>
      <c r="AP2" s="18" t="s">
        <v>61</v>
      </c>
      <c r="AQ2" s="18" t="s">
        <v>75</v>
      </c>
      <c r="AR2" s="18" t="s">
        <v>62</v>
      </c>
      <c r="AS2" s="18" t="s">
        <v>76</v>
      </c>
    </row>
    <row r="3" spans="1:45" s="9" customFormat="1" ht="18.75" customHeight="1" x14ac:dyDescent="0.25">
      <c r="A3" s="17">
        <v>2</v>
      </c>
      <c r="B3" s="18" t="s">
        <v>63</v>
      </c>
      <c r="C3" s="18" t="s">
        <v>46</v>
      </c>
      <c r="D3" s="17" t="b">
        <f>TRUE()</f>
        <v>1</v>
      </c>
      <c r="E3" s="17" t="b">
        <f>TRUE()</f>
        <v>1</v>
      </c>
      <c r="F3" s="17">
        <v>0</v>
      </c>
      <c r="G3" s="19" t="s">
        <v>69</v>
      </c>
      <c r="H3" s="17">
        <v>1</v>
      </c>
      <c r="I3" s="18" t="s">
        <v>47</v>
      </c>
      <c r="J3" s="18" t="s">
        <v>48</v>
      </c>
      <c r="K3" s="18" t="s">
        <v>49</v>
      </c>
      <c r="L3" s="17">
        <v>10</v>
      </c>
      <c r="M3" s="18" t="s">
        <v>50</v>
      </c>
      <c r="N3" s="18" t="s">
        <v>51</v>
      </c>
      <c r="O3" s="20" t="s">
        <v>52</v>
      </c>
      <c r="P3" s="18" t="s">
        <v>53</v>
      </c>
      <c r="Q3" s="18" t="s">
        <v>54</v>
      </c>
      <c r="R3" s="18" t="s">
        <v>55</v>
      </c>
      <c r="S3" s="17">
        <v>0</v>
      </c>
      <c r="T3" s="17">
        <v>0</v>
      </c>
      <c r="U3" s="21">
        <v>0.4</v>
      </c>
      <c r="V3" s="22">
        <v>1.5</v>
      </c>
      <c r="W3" s="18" t="s">
        <v>54</v>
      </c>
      <c r="X3" s="18" t="s">
        <v>56</v>
      </c>
      <c r="Y3" s="18" t="s">
        <v>56</v>
      </c>
      <c r="Z3" s="18" t="s">
        <v>56</v>
      </c>
      <c r="AA3" s="18" t="s">
        <v>56</v>
      </c>
      <c r="AB3" s="18" t="s">
        <v>54</v>
      </c>
      <c r="AC3" s="22">
        <v>9.1999999999999998E-2</v>
      </c>
      <c r="AD3" s="18" t="s">
        <v>54</v>
      </c>
      <c r="AE3" s="18" t="s">
        <v>56</v>
      </c>
      <c r="AF3" s="18" t="s">
        <v>57</v>
      </c>
      <c r="AG3" s="18" t="s">
        <v>57</v>
      </c>
      <c r="AH3" s="18" t="s">
        <v>57</v>
      </c>
      <c r="AI3" s="18" t="s">
        <v>57</v>
      </c>
      <c r="AJ3" s="18" t="s">
        <v>58</v>
      </c>
      <c r="AK3" s="18" t="s">
        <v>59</v>
      </c>
      <c r="AL3" s="18" t="s">
        <v>56</v>
      </c>
      <c r="AM3" s="18" t="s">
        <v>56</v>
      </c>
      <c r="AN3" s="18" t="s">
        <v>60</v>
      </c>
      <c r="AO3" s="18" t="s">
        <v>64</v>
      </c>
      <c r="AP3" s="18" t="s">
        <v>61</v>
      </c>
      <c r="AQ3" s="18" t="s">
        <v>75</v>
      </c>
      <c r="AR3" s="18" t="s">
        <v>62</v>
      </c>
      <c r="AS3" s="18" t="s">
        <v>76</v>
      </c>
    </row>
    <row r="4" spans="1:45" s="9" customFormat="1" ht="18.75" customHeight="1" x14ac:dyDescent="0.25">
      <c r="A4" s="17">
        <v>3</v>
      </c>
      <c r="B4" s="18" t="s">
        <v>65</v>
      </c>
      <c r="C4" s="18" t="s">
        <v>46</v>
      </c>
      <c r="D4" s="17" t="b">
        <f>TRUE()</f>
        <v>1</v>
      </c>
      <c r="E4" s="17" t="b">
        <f>TRUE()</f>
        <v>1</v>
      </c>
      <c r="F4" s="17">
        <v>0</v>
      </c>
      <c r="G4" s="19" t="s">
        <v>69</v>
      </c>
      <c r="H4" s="17">
        <v>1</v>
      </c>
      <c r="I4" s="18" t="s">
        <v>47</v>
      </c>
      <c r="J4" s="18" t="s">
        <v>48</v>
      </c>
      <c r="K4" s="18" t="s">
        <v>49</v>
      </c>
      <c r="L4" s="17">
        <v>10</v>
      </c>
      <c r="M4" s="18" t="s">
        <v>50</v>
      </c>
      <c r="N4" s="18" t="s">
        <v>51</v>
      </c>
      <c r="O4" s="20" t="s">
        <v>52</v>
      </c>
      <c r="P4" s="18" t="s">
        <v>53</v>
      </c>
      <c r="Q4" s="18" t="s">
        <v>54</v>
      </c>
      <c r="R4" s="18" t="s">
        <v>55</v>
      </c>
      <c r="S4" s="17">
        <v>0</v>
      </c>
      <c r="T4" s="17">
        <v>0</v>
      </c>
      <c r="U4" s="21">
        <v>0.4</v>
      </c>
      <c r="V4" s="22">
        <v>1.5</v>
      </c>
      <c r="W4" s="18" t="s">
        <v>54</v>
      </c>
      <c r="X4" s="18" t="s">
        <v>56</v>
      </c>
      <c r="Y4" s="18" t="s">
        <v>56</v>
      </c>
      <c r="Z4" s="18" t="s">
        <v>56</v>
      </c>
      <c r="AA4" s="18" t="s">
        <v>56</v>
      </c>
      <c r="AB4" s="18" t="s">
        <v>54</v>
      </c>
      <c r="AC4" s="22">
        <v>9.1999999999999998E-2</v>
      </c>
      <c r="AD4" s="18" t="s">
        <v>54</v>
      </c>
      <c r="AE4" s="18" t="s">
        <v>56</v>
      </c>
      <c r="AF4" s="18" t="s">
        <v>57</v>
      </c>
      <c r="AG4" s="18" t="s">
        <v>57</v>
      </c>
      <c r="AH4" s="18" t="s">
        <v>57</v>
      </c>
      <c r="AI4" s="18" t="s">
        <v>57</v>
      </c>
      <c r="AJ4" s="18" t="s">
        <v>58</v>
      </c>
      <c r="AK4" s="18" t="s">
        <v>59</v>
      </c>
      <c r="AL4" s="18" t="s">
        <v>56</v>
      </c>
      <c r="AM4" s="18" t="s">
        <v>56</v>
      </c>
      <c r="AN4" s="18" t="s">
        <v>60</v>
      </c>
      <c r="AO4" s="18" t="s">
        <v>61</v>
      </c>
      <c r="AP4" s="18" t="s">
        <v>66</v>
      </c>
      <c r="AQ4" s="18" t="s">
        <v>75</v>
      </c>
      <c r="AR4" s="18" t="s">
        <v>62</v>
      </c>
      <c r="AS4" s="18" t="s">
        <v>76</v>
      </c>
    </row>
    <row r="5" spans="1:45" s="9" customFormat="1" ht="18.75" customHeight="1" x14ac:dyDescent="0.25">
      <c r="A5" s="17">
        <v>4</v>
      </c>
      <c r="B5" s="18" t="s">
        <v>67</v>
      </c>
      <c r="C5" s="18" t="s">
        <v>46</v>
      </c>
      <c r="D5" s="17" t="b">
        <f>TRUE()</f>
        <v>1</v>
      </c>
      <c r="E5" s="17" t="b">
        <f>TRUE()</f>
        <v>1</v>
      </c>
      <c r="F5" s="17">
        <v>0</v>
      </c>
      <c r="G5" s="19" t="s">
        <v>69</v>
      </c>
      <c r="H5" s="17">
        <v>1</v>
      </c>
      <c r="I5" s="18" t="s">
        <v>47</v>
      </c>
      <c r="J5" s="18" t="s">
        <v>48</v>
      </c>
      <c r="K5" s="18" t="s">
        <v>49</v>
      </c>
      <c r="L5" s="17">
        <v>10</v>
      </c>
      <c r="M5" s="18" t="s">
        <v>50</v>
      </c>
      <c r="N5" s="18" t="s">
        <v>51</v>
      </c>
      <c r="O5" s="20" t="s">
        <v>52</v>
      </c>
      <c r="P5" s="18" t="s">
        <v>53</v>
      </c>
      <c r="Q5" s="18" t="s">
        <v>54</v>
      </c>
      <c r="R5" s="18" t="s">
        <v>55</v>
      </c>
      <c r="S5" s="17">
        <v>0</v>
      </c>
      <c r="T5" s="17">
        <v>0</v>
      </c>
      <c r="U5" s="21">
        <v>0.4</v>
      </c>
      <c r="V5" s="22">
        <v>1.5</v>
      </c>
      <c r="W5" s="18" t="s">
        <v>54</v>
      </c>
      <c r="X5" s="18" t="s">
        <v>56</v>
      </c>
      <c r="Y5" s="18" t="s">
        <v>56</v>
      </c>
      <c r="Z5" s="18" t="s">
        <v>56</v>
      </c>
      <c r="AA5" s="18" t="s">
        <v>56</v>
      </c>
      <c r="AB5" s="18" t="s">
        <v>54</v>
      </c>
      <c r="AC5" s="22">
        <v>9.1999999999999998E-2</v>
      </c>
      <c r="AD5" s="18" t="s">
        <v>54</v>
      </c>
      <c r="AE5" s="18" t="s">
        <v>56</v>
      </c>
      <c r="AF5" s="18" t="s">
        <v>57</v>
      </c>
      <c r="AG5" s="18" t="s">
        <v>57</v>
      </c>
      <c r="AH5" s="18" t="s">
        <v>57</v>
      </c>
      <c r="AI5" s="18" t="s">
        <v>57</v>
      </c>
      <c r="AJ5" s="18" t="s">
        <v>58</v>
      </c>
      <c r="AK5" s="18" t="s">
        <v>59</v>
      </c>
      <c r="AL5" s="18" t="s">
        <v>56</v>
      </c>
      <c r="AM5" s="18" t="s">
        <v>56</v>
      </c>
      <c r="AN5" s="18" t="s">
        <v>60</v>
      </c>
      <c r="AO5" s="18" t="s">
        <v>64</v>
      </c>
      <c r="AP5" s="18" t="s">
        <v>66</v>
      </c>
      <c r="AQ5" s="18" t="s">
        <v>75</v>
      </c>
      <c r="AR5" s="18" t="s">
        <v>62</v>
      </c>
      <c r="AS5" s="18" t="s">
        <v>76</v>
      </c>
    </row>
    <row r="6" spans="1:45" s="9" customFormat="1" ht="18.75" customHeight="1" x14ac:dyDescent="0.25">
      <c r="A6" s="23">
        <v>5</v>
      </c>
      <c r="B6" s="24" t="s">
        <v>68</v>
      </c>
      <c r="C6" s="24" t="s">
        <v>46</v>
      </c>
      <c r="D6" s="23" t="b">
        <f>TRUE()</f>
        <v>1</v>
      </c>
      <c r="E6" s="23" t="b">
        <f>TRUE()</f>
        <v>1</v>
      </c>
      <c r="F6" s="23">
        <v>0</v>
      </c>
      <c r="G6" s="23" t="b">
        <f>FALSE()</f>
        <v>0</v>
      </c>
      <c r="H6" s="23">
        <v>1</v>
      </c>
      <c r="I6" s="24" t="s">
        <v>70</v>
      </c>
      <c r="J6" s="24" t="s">
        <v>48</v>
      </c>
      <c r="K6" s="24" t="s">
        <v>49</v>
      </c>
      <c r="L6" s="23">
        <v>1</v>
      </c>
      <c r="M6" s="24" t="s">
        <v>50</v>
      </c>
      <c r="N6" s="24" t="s">
        <v>51</v>
      </c>
      <c r="O6" s="25" t="s">
        <v>52</v>
      </c>
      <c r="P6" s="24" t="s">
        <v>53</v>
      </c>
      <c r="Q6" s="24" t="s">
        <v>54</v>
      </c>
      <c r="R6" s="24" t="s">
        <v>55</v>
      </c>
      <c r="S6" s="23">
        <v>0</v>
      </c>
      <c r="T6" s="23">
        <v>0</v>
      </c>
      <c r="U6" s="26">
        <v>0.4</v>
      </c>
      <c r="V6" s="27">
        <v>1.5</v>
      </c>
      <c r="W6" s="24" t="s">
        <v>54</v>
      </c>
      <c r="X6" s="24" t="s">
        <v>56</v>
      </c>
      <c r="Y6" s="24" t="s">
        <v>56</v>
      </c>
      <c r="Z6" s="24" t="s">
        <v>56</v>
      </c>
      <c r="AA6" s="24" t="s">
        <v>56</v>
      </c>
      <c r="AB6" s="24" t="s">
        <v>54</v>
      </c>
      <c r="AC6" s="27">
        <v>9.1999999999999998E-2</v>
      </c>
      <c r="AD6" s="24" t="s">
        <v>54</v>
      </c>
      <c r="AE6" s="24" t="s">
        <v>56</v>
      </c>
      <c r="AF6" s="24" t="s">
        <v>57</v>
      </c>
      <c r="AG6" s="24" t="s">
        <v>57</v>
      </c>
      <c r="AH6" s="24" t="s">
        <v>57</v>
      </c>
      <c r="AI6" s="24" t="s">
        <v>57</v>
      </c>
      <c r="AJ6" s="24" t="s">
        <v>58</v>
      </c>
      <c r="AK6" s="24" t="s">
        <v>59</v>
      </c>
      <c r="AL6" s="24" t="s">
        <v>56</v>
      </c>
      <c r="AM6" s="24" t="s">
        <v>56</v>
      </c>
      <c r="AN6" s="24" t="s">
        <v>60</v>
      </c>
      <c r="AO6" s="24" t="s">
        <v>61</v>
      </c>
      <c r="AP6" s="24" t="s">
        <v>61</v>
      </c>
      <c r="AQ6" s="24" t="s">
        <v>75</v>
      </c>
      <c r="AR6" s="24" t="s">
        <v>62</v>
      </c>
      <c r="AS6" s="24" t="s">
        <v>76</v>
      </c>
    </row>
    <row r="7" spans="1:45" s="9" customFormat="1" ht="18.75" customHeight="1" x14ac:dyDescent="0.25">
      <c r="A7" s="23">
        <v>6</v>
      </c>
      <c r="B7" s="24" t="s">
        <v>71</v>
      </c>
      <c r="C7" s="24" t="s">
        <v>46</v>
      </c>
      <c r="D7" s="23" t="b">
        <f>TRUE()</f>
        <v>1</v>
      </c>
      <c r="E7" s="23" t="b">
        <f>TRUE()</f>
        <v>1</v>
      </c>
      <c r="F7" s="23">
        <v>0</v>
      </c>
      <c r="G7" s="23" t="b">
        <f>FALSE()</f>
        <v>0</v>
      </c>
      <c r="H7" s="23">
        <v>1</v>
      </c>
      <c r="I7" s="24" t="s">
        <v>70</v>
      </c>
      <c r="J7" s="24" t="s">
        <v>48</v>
      </c>
      <c r="K7" s="24" t="s">
        <v>49</v>
      </c>
      <c r="L7" s="23">
        <v>1</v>
      </c>
      <c r="M7" s="24" t="s">
        <v>50</v>
      </c>
      <c r="N7" s="24" t="s">
        <v>51</v>
      </c>
      <c r="O7" s="25" t="s">
        <v>52</v>
      </c>
      <c r="P7" s="24" t="s">
        <v>53</v>
      </c>
      <c r="Q7" s="24" t="s">
        <v>54</v>
      </c>
      <c r="R7" s="24" t="s">
        <v>55</v>
      </c>
      <c r="S7" s="23">
        <v>0</v>
      </c>
      <c r="T7" s="23">
        <v>0</v>
      </c>
      <c r="U7" s="26">
        <v>0.4</v>
      </c>
      <c r="V7" s="27">
        <v>1.5</v>
      </c>
      <c r="W7" s="24" t="s">
        <v>54</v>
      </c>
      <c r="X7" s="24" t="s">
        <v>56</v>
      </c>
      <c r="Y7" s="24" t="s">
        <v>56</v>
      </c>
      <c r="Z7" s="24" t="s">
        <v>56</v>
      </c>
      <c r="AA7" s="24" t="s">
        <v>56</v>
      </c>
      <c r="AB7" s="24" t="s">
        <v>54</v>
      </c>
      <c r="AC7" s="27">
        <v>9.1999999999999998E-2</v>
      </c>
      <c r="AD7" s="24" t="s">
        <v>54</v>
      </c>
      <c r="AE7" s="24" t="s">
        <v>56</v>
      </c>
      <c r="AF7" s="24" t="s">
        <v>57</v>
      </c>
      <c r="AG7" s="24" t="s">
        <v>57</v>
      </c>
      <c r="AH7" s="24" t="s">
        <v>57</v>
      </c>
      <c r="AI7" s="24" t="s">
        <v>57</v>
      </c>
      <c r="AJ7" s="24" t="s">
        <v>58</v>
      </c>
      <c r="AK7" s="24" t="s">
        <v>59</v>
      </c>
      <c r="AL7" s="24" t="s">
        <v>56</v>
      </c>
      <c r="AM7" s="24" t="s">
        <v>56</v>
      </c>
      <c r="AN7" s="24" t="s">
        <v>60</v>
      </c>
      <c r="AO7" s="24" t="s">
        <v>64</v>
      </c>
      <c r="AP7" s="24" t="s">
        <v>61</v>
      </c>
      <c r="AQ7" s="24" t="s">
        <v>75</v>
      </c>
      <c r="AR7" s="24" t="s">
        <v>62</v>
      </c>
      <c r="AS7" s="24" t="s">
        <v>76</v>
      </c>
    </row>
    <row r="8" spans="1:45" s="9" customFormat="1" ht="18.75" customHeight="1" x14ac:dyDescent="0.25">
      <c r="A8" s="23">
        <v>7</v>
      </c>
      <c r="B8" s="24" t="s">
        <v>72</v>
      </c>
      <c r="C8" s="24" t="s">
        <v>46</v>
      </c>
      <c r="D8" s="23" t="b">
        <f>TRUE()</f>
        <v>1</v>
      </c>
      <c r="E8" s="23" t="b">
        <f>TRUE()</f>
        <v>1</v>
      </c>
      <c r="F8" s="23">
        <v>0</v>
      </c>
      <c r="G8" s="23" t="b">
        <f>FALSE()</f>
        <v>0</v>
      </c>
      <c r="H8" s="23">
        <v>1</v>
      </c>
      <c r="I8" s="24" t="s">
        <v>70</v>
      </c>
      <c r="J8" s="24" t="s">
        <v>48</v>
      </c>
      <c r="K8" s="24" t="s">
        <v>49</v>
      </c>
      <c r="L8" s="23">
        <v>1</v>
      </c>
      <c r="M8" s="24" t="s">
        <v>50</v>
      </c>
      <c r="N8" s="24" t="s">
        <v>51</v>
      </c>
      <c r="O8" s="25" t="s">
        <v>52</v>
      </c>
      <c r="P8" s="24" t="s">
        <v>53</v>
      </c>
      <c r="Q8" s="24" t="s">
        <v>54</v>
      </c>
      <c r="R8" s="24" t="s">
        <v>55</v>
      </c>
      <c r="S8" s="23">
        <v>0</v>
      </c>
      <c r="T8" s="23">
        <v>0</v>
      </c>
      <c r="U8" s="26">
        <v>0.4</v>
      </c>
      <c r="V8" s="27">
        <v>1.5</v>
      </c>
      <c r="W8" s="24" t="s">
        <v>54</v>
      </c>
      <c r="X8" s="24" t="s">
        <v>56</v>
      </c>
      <c r="Y8" s="24" t="s">
        <v>56</v>
      </c>
      <c r="Z8" s="24" t="s">
        <v>56</v>
      </c>
      <c r="AA8" s="24" t="s">
        <v>56</v>
      </c>
      <c r="AB8" s="24" t="s">
        <v>54</v>
      </c>
      <c r="AC8" s="27">
        <v>9.1999999999999998E-2</v>
      </c>
      <c r="AD8" s="24" t="s">
        <v>54</v>
      </c>
      <c r="AE8" s="24" t="s">
        <v>56</v>
      </c>
      <c r="AF8" s="24" t="s">
        <v>57</v>
      </c>
      <c r="AG8" s="24" t="s">
        <v>57</v>
      </c>
      <c r="AH8" s="24" t="s">
        <v>57</v>
      </c>
      <c r="AI8" s="24" t="s">
        <v>57</v>
      </c>
      <c r="AJ8" s="24" t="s">
        <v>58</v>
      </c>
      <c r="AK8" s="24" t="s">
        <v>59</v>
      </c>
      <c r="AL8" s="24" t="s">
        <v>56</v>
      </c>
      <c r="AM8" s="24" t="s">
        <v>56</v>
      </c>
      <c r="AN8" s="24" t="s">
        <v>60</v>
      </c>
      <c r="AO8" s="24" t="s">
        <v>61</v>
      </c>
      <c r="AP8" s="24" t="s">
        <v>73</v>
      </c>
      <c r="AQ8" s="24" t="s">
        <v>75</v>
      </c>
      <c r="AR8" s="24" t="s">
        <v>62</v>
      </c>
      <c r="AS8" s="24" t="s">
        <v>76</v>
      </c>
    </row>
    <row r="9" spans="1:45" s="9" customFormat="1" ht="18.75" customHeight="1" x14ac:dyDescent="0.25">
      <c r="A9" s="23">
        <v>8</v>
      </c>
      <c r="B9" s="24" t="s">
        <v>74</v>
      </c>
      <c r="C9" s="24" t="s">
        <v>46</v>
      </c>
      <c r="D9" s="23" t="b">
        <f>TRUE()</f>
        <v>1</v>
      </c>
      <c r="E9" s="23" t="b">
        <f>TRUE()</f>
        <v>1</v>
      </c>
      <c r="F9" s="23">
        <v>0</v>
      </c>
      <c r="G9" s="23" t="b">
        <f>FALSE()</f>
        <v>0</v>
      </c>
      <c r="H9" s="23">
        <v>1</v>
      </c>
      <c r="I9" s="24" t="s">
        <v>70</v>
      </c>
      <c r="J9" s="24" t="s">
        <v>48</v>
      </c>
      <c r="K9" s="24" t="s">
        <v>49</v>
      </c>
      <c r="L9" s="23">
        <v>1</v>
      </c>
      <c r="M9" s="24" t="s">
        <v>50</v>
      </c>
      <c r="N9" s="24" t="s">
        <v>51</v>
      </c>
      <c r="O9" s="25" t="s">
        <v>52</v>
      </c>
      <c r="P9" s="24" t="s">
        <v>53</v>
      </c>
      <c r="Q9" s="24" t="s">
        <v>54</v>
      </c>
      <c r="R9" s="24" t="s">
        <v>55</v>
      </c>
      <c r="S9" s="23">
        <v>0</v>
      </c>
      <c r="T9" s="23">
        <v>0</v>
      </c>
      <c r="U9" s="26">
        <v>0.4</v>
      </c>
      <c r="V9" s="27">
        <v>1.5</v>
      </c>
      <c r="W9" s="24" t="s">
        <v>54</v>
      </c>
      <c r="X9" s="24" t="s">
        <v>56</v>
      </c>
      <c r="Y9" s="24" t="s">
        <v>56</v>
      </c>
      <c r="Z9" s="24" t="s">
        <v>56</v>
      </c>
      <c r="AA9" s="24" t="s">
        <v>56</v>
      </c>
      <c r="AB9" s="24" t="s">
        <v>54</v>
      </c>
      <c r="AC9" s="27">
        <v>9.1999999999999998E-2</v>
      </c>
      <c r="AD9" s="24" t="s">
        <v>54</v>
      </c>
      <c r="AE9" s="24" t="s">
        <v>56</v>
      </c>
      <c r="AF9" s="24" t="s">
        <v>57</v>
      </c>
      <c r="AG9" s="24" t="s">
        <v>57</v>
      </c>
      <c r="AH9" s="24" t="s">
        <v>57</v>
      </c>
      <c r="AI9" s="24" t="s">
        <v>57</v>
      </c>
      <c r="AJ9" s="24" t="s">
        <v>58</v>
      </c>
      <c r="AK9" s="24" t="s">
        <v>59</v>
      </c>
      <c r="AL9" s="24" t="s">
        <v>56</v>
      </c>
      <c r="AM9" s="24" t="s">
        <v>56</v>
      </c>
      <c r="AN9" s="24" t="s">
        <v>60</v>
      </c>
      <c r="AO9" s="24" t="s">
        <v>64</v>
      </c>
      <c r="AP9" s="24" t="s">
        <v>73</v>
      </c>
      <c r="AQ9" s="24" t="s">
        <v>75</v>
      </c>
      <c r="AR9" s="24" t="s">
        <v>62</v>
      </c>
      <c r="AS9" s="24" t="s">
        <v>76</v>
      </c>
    </row>
    <row r="11" spans="1:45" s="7" customFormat="1" ht="270" x14ac:dyDescent="0.25">
      <c r="A11" s="8"/>
      <c r="B11" s="28"/>
      <c r="C11" s="4"/>
      <c r="D11" s="4"/>
      <c r="E11" s="4"/>
      <c r="F11" s="8"/>
      <c r="G11" s="4"/>
      <c r="H11" s="8"/>
      <c r="I11" s="4"/>
      <c r="J11" s="4" t="s">
        <v>79</v>
      </c>
      <c r="K11" s="4"/>
      <c r="L11" s="8"/>
      <c r="M11" s="4"/>
      <c r="N11" s="4"/>
      <c r="O11" s="4"/>
      <c r="P11" s="4"/>
      <c r="Q11" s="4"/>
      <c r="R11" s="4" t="s">
        <v>78</v>
      </c>
      <c r="S11" s="8" t="s">
        <v>77</v>
      </c>
      <c r="T11" s="8"/>
      <c r="U11" s="29"/>
      <c r="V11" s="29"/>
      <c r="W11" s="4"/>
      <c r="X11" s="4"/>
      <c r="Y11" s="4"/>
      <c r="Z11" s="4"/>
      <c r="AA11" s="4"/>
      <c r="AB11" s="4"/>
      <c r="AC11" s="30"/>
      <c r="AD11" s="4"/>
      <c r="AE11" s="4"/>
      <c r="AF11" s="4" t="s">
        <v>80</v>
      </c>
      <c r="AG11" s="4"/>
      <c r="AH11" s="4"/>
      <c r="AI11" s="4"/>
      <c r="AJ11" s="4"/>
      <c r="AK11" s="4"/>
      <c r="AL11" s="4"/>
      <c r="AM11" s="4"/>
      <c r="AN11" s="4" t="s">
        <v>81</v>
      </c>
      <c r="AO11" s="4"/>
      <c r="AP11" s="4"/>
      <c r="AQ11" s="4"/>
      <c r="AR11" s="4"/>
      <c r="AS11" s="4" t="s">
        <v>82</v>
      </c>
    </row>
  </sheetData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scenario_definition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Agatha Majcher</cp:lastModifiedBy>
  <cp:revision>1</cp:revision>
  <dcterms:created xsi:type="dcterms:W3CDTF">2026-06-12T09:02:36Z</dcterms:created>
  <dcterms:modified xsi:type="dcterms:W3CDTF">2026-08-16T19:38:42Z</dcterms:modified>
  <dc:language>en-US</dc:language>
</cp:coreProperties>
</file>